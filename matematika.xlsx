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shqaruv" sheetId="1" state="visible" r:id="rId1"/>
    <sheet xmlns:r="http://schemas.openxmlformats.org/officeDocument/2006/relationships" name="Algebra" sheetId="2" state="visible" r:id="rId2"/>
    <sheet xmlns:r="http://schemas.openxmlformats.org/officeDocument/2006/relationships" name="Geometriya" sheetId="3" state="visible" r:id="rId3"/>
    <sheet xmlns:r="http://schemas.openxmlformats.org/officeDocument/2006/relationships" name="Rasmiy dastur" sheetId="4" state="visible" r:id="rId4"/>
  </sheets>
  <definedNames>
    <definedName name="_xlnm._FilterDatabase" localSheetId="1" hidden="1">'Algebra'!$A$3:$N$19</definedName>
    <definedName name="_xlnm._FilterDatabase" localSheetId="2" hidden="1">'Geometriya'!$A$3:$N$19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4F46E5"/>
      <sz val="16"/>
    </font>
    <font>
      <name val="Arial"/>
      <charset val="1"/>
      <family val="0"/>
      <i val="1"/>
      <color rgb="FF64748B"/>
      <sz val="10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0F172A"/>
      <sz val="11"/>
    </font>
    <font>
      <name val="Arial"/>
      <charset val="1"/>
      <family val="0"/>
      <b val="1"/>
      <color rgb="FF4F46E5"/>
      <sz val="10"/>
    </font>
    <font>
      <name val="Arial"/>
      <charset val="1"/>
      <family val="0"/>
      <color rgb="FF0F172A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F172A"/>
      <sz val="10"/>
    </font>
    <font>
      <name val="Arial"/>
      <charset val="1"/>
      <family val="0"/>
      <color rgb="FF0F172A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1"/>
    </font>
  </fonts>
  <fills count="20">
    <fill>
      <patternFill/>
    </fill>
    <fill>
      <patternFill patternType="gray125"/>
    </fill>
    <fill>
      <patternFill patternType="solid">
        <fgColor rgb="FFEFF2FF"/>
        <bgColor rgb="FFF1F5F9"/>
      </patternFill>
    </fill>
    <fill>
      <patternFill patternType="solid">
        <fgColor rgb="FF4F46E5"/>
        <bgColor rgb="FF6366F1"/>
      </patternFill>
    </fill>
    <fill>
      <patternFill patternType="solid">
        <fgColor rgb="FFF1F5F9"/>
        <bgColor rgb="FFEFF2FF"/>
      </patternFill>
    </fill>
    <fill>
      <patternFill patternType="solid">
        <fgColor rgb="FF0F172A"/>
        <bgColor rgb="FF000000"/>
      </patternFill>
    </fill>
    <fill>
      <patternFill patternType="solid">
        <fgColor rgb="FFE9E9FD"/>
        <bgColor rgb="FFEEE8FD"/>
      </patternFill>
    </fill>
    <fill>
      <patternFill patternType="solid">
        <fgColor rgb="FF6366F1"/>
        <bgColor rgb="FF8B5CF6"/>
      </patternFill>
    </fill>
    <fill>
      <patternFill patternType="solid">
        <fgColor rgb="FFDDF2FB"/>
        <bgColor rgb="FFDEF5F2"/>
      </patternFill>
    </fill>
    <fill>
      <patternFill patternType="solid">
        <fgColor rgb="FF0EA5E9"/>
        <bgColor rgb="FF14B8A6"/>
      </patternFill>
    </fill>
    <fill>
      <patternFill patternType="solid">
        <fgColor rgb="FFDEF5F2"/>
        <bgColor rgb="FFDDF2FB"/>
      </patternFill>
    </fill>
    <fill>
      <patternFill patternType="solid">
        <fgColor rgb="FF14B8A6"/>
        <bgColor rgb="FF0EA5E9"/>
      </patternFill>
    </fill>
    <fill>
      <patternFill patternType="solid">
        <fgColor rgb="FFFDF1DC"/>
        <bgColor rgb="FFFCE4E4"/>
      </patternFill>
    </fill>
    <fill>
      <patternFill patternType="solid">
        <fgColor rgb="FFF59E0B"/>
        <bgColor rgb="FFFFCC00"/>
      </patternFill>
    </fill>
    <fill>
      <patternFill patternType="solid">
        <fgColor rgb="FFFCE4E4"/>
        <bgColor rgb="FFFCE5F0"/>
      </patternFill>
    </fill>
    <fill>
      <patternFill patternType="solid">
        <fgColor rgb="FFEF4444"/>
        <bgColor rgb="FFEC4899"/>
      </patternFill>
    </fill>
    <fill>
      <patternFill patternType="solid">
        <fgColor rgb="FFEEE8FD"/>
        <bgColor rgb="FFE9E9FD"/>
      </patternFill>
    </fill>
    <fill>
      <patternFill patternType="solid">
        <fgColor rgb="FF8B5CF6"/>
        <bgColor rgb="FF6366F1"/>
      </patternFill>
    </fill>
    <fill>
      <patternFill patternType="solid">
        <fgColor rgb="FFFCE5F0"/>
        <bgColor rgb="FFFCE4E4"/>
      </patternFill>
    </fill>
    <fill>
      <patternFill patternType="solid">
        <fgColor rgb="FFEC4899"/>
        <bgColor rgb="FFEF4444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/>
    </xf>
    <xf numFmtId="0" fontId="14" fillId="7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/>
    </xf>
    <xf numFmtId="0" fontId="14" fillId="9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/>
    </xf>
    <xf numFmtId="0" fontId="14" fillId="11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/>
    </xf>
    <xf numFmtId="0" fontId="14" fillId="13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center" vertical="top"/>
    </xf>
    <xf numFmtId="0" fontId="14" fillId="15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center" vertical="top" wrapText="1"/>
    </xf>
    <xf numFmtId="0" fontId="7" fillId="16" borderId="1" applyAlignment="1" pivotButton="0" quotePrefix="0" xfId="0">
      <alignment horizontal="center" vertical="top"/>
    </xf>
    <xf numFmtId="0" fontId="14" fillId="17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center" vertical="top"/>
    </xf>
    <xf numFmtId="0" fontId="14" fillId="19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/>
    </xf>
    <xf numFmtId="0" fontId="14" fillId="7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/>
    </xf>
    <xf numFmtId="0" fontId="14" fillId="9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/>
    </xf>
    <xf numFmtId="0" fontId="14" fillId="11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/>
    </xf>
    <xf numFmtId="0" fontId="14" fillId="13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center" vertical="top"/>
    </xf>
    <xf numFmtId="0" fontId="14" fillId="15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center" vertical="top" wrapText="1"/>
    </xf>
    <xf numFmtId="0" fontId="7" fillId="16" borderId="1" applyAlignment="1" pivotButton="0" quotePrefix="0" xfId="0">
      <alignment horizontal="center" vertical="top"/>
    </xf>
    <xf numFmtId="0" fontId="14" fillId="17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center" vertical="top"/>
    </xf>
    <xf numFmtId="0" fontId="14" fillId="19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0F172A"/>
          <bgColor rgb="FF000000"/>
        </patternFill>
      </fill>
    </dxf>
    <dxf>
      <fill>
        <patternFill patternType="solid">
          <fgColor rgb="FFDDF2FB"/>
          <bgColor rgb="FF000000"/>
        </patternFill>
      </fill>
    </dxf>
    <dxf>
      <fill>
        <patternFill patternType="solid">
          <fgColor rgb="FFDEF5F2"/>
          <bgColor rgb="FF000000"/>
        </patternFill>
      </fill>
    </dxf>
    <dxf>
      <fill>
        <patternFill patternType="solid">
          <fgColor rgb="FFE9E9FD"/>
          <bgColor rgb="FF000000"/>
        </patternFill>
      </fill>
    </dxf>
    <dxf>
      <fill>
        <patternFill patternType="solid">
          <fgColor rgb="FFEEE8FD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CE5F0"/>
          <bgColor rgb="FF000000"/>
        </patternFill>
      </fill>
    </dxf>
    <dxf>
      <fill>
        <patternFill patternType="solid">
          <fgColor rgb="FFFDF1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EA5E9"/>
          <bgColor rgb="FF000000"/>
        </patternFill>
      </fill>
    </dxf>
    <dxf>
      <fill>
        <patternFill patternType="solid">
          <fgColor rgb="FF14B8A6"/>
          <bgColor rgb="FF000000"/>
        </patternFill>
      </fill>
    </dxf>
    <dxf>
      <fill>
        <patternFill patternType="solid">
          <fgColor rgb="FF6366F1"/>
          <bgColor rgb="FF000000"/>
        </patternFill>
      </fill>
    </dxf>
    <dxf>
      <fill>
        <patternFill patternType="solid">
          <fgColor rgb="FF8B5CF6"/>
          <bgColor rgb="FF000000"/>
        </patternFill>
      </fill>
    </dxf>
    <dxf>
      <fill>
        <patternFill patternType="solid">
          <fgColor rgb="FFEC4899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59E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9E9FD"/>
      <rgbColor rgb="FF808080"/>
      <rgbColor rgb="FF8B5CF6"/>
      <rgbColor rgb="FF993366"/>
      <rgbColor rgb="FFFDF1DC"/>
      <rgbColor rgb="FFDEF5F2"/>
      <rgbColor rgb="FF660066"/>
      <rgbColor rgb="FFEC4899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DDF2FB"/>
      <rgbColor rgb="FFF1F5F9"/>
      <rgbColor rgb="FFFCE5F0"/>
      <rgbColor rgb="FFEEE8FD"/>
      <rgbColor rgb="FFEFF2FF"/>
      <rgbColor rgb="FFCC99FF"/>
      <rgbColor rgb="FFFCE4E4"/>
      <rgbColor rgb="FF6366F1"/>
      <rgbColor rgb="FF14B8A6"/>
      <rgbColor rgb="FF99CC00"/>
      <rgbColor rgb="FFFFCC00"/>
      <rgbColor rgb="FFF59E0B"/>
      <rgbColor rgb="FFEF4444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4F46E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F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55" min="1" max="1"/>
    <col width="26" customWidth="1" style="55" min="2" max="2"/>
    <col width="16" customWidth="1" style="55" min="3" max="3"/>
    <col width="14" customWidth="1" style="55" min="4" max="5"/>
    <col width="16" customWidth="1" style="55" min="6" max="6"/>
  </cols>
  <sheetData>
    <row r="2" ht="19.7" customHeight="1" s="56">
      <c r="B2" s="57" t="inlineStr">
        <is>
          <t>MATEMATIKA — ABITURIYENT O'QUV QO'LLANMASI</t>
        </is>
      </c>
    </row>
    <row r="3" ht="15" customHeight="1" s="56">
      <c r="B3" s="58" t="inlineStr">
        <is>
          <t>Algebra + Geometriya  •  o'quvchi va o'qituvchi uchun  •  rasmiy dastur asosida</t>
        </is>
      </c>
    </row>
    <row r="4" ht="15" customHeight="1" s="56">
      <c r="B4" s="59" t="inlineStr">
        <is>
          <t>Manba: «Global Education in Karshi» NTM — «Matematika» o'quv reja va dasturi (Qarshi, 2022)</t>
        </is>
      </c>
    </row>
    <row r="6" ht="15" customHeight="1" s="56">
      <c r="B6" s="60" t="inlineStr">
        <is>
          <t>Ushbu faylda nima bor (sahifalar):</t>
        </is>
      </c>
    </row>
    <row r="7" ht="30" customHeight="1" s="56">
      <c r="B7" s="61" t="inlineStr">
        <is>
          <t>Algebra</t>
        </is>
      </c>
      <c r="C7" s="62" t="inlineStr">
        <is>
          <t>16 ta mavzu — to'liq batafsil (maqsad, formulalar, ko'nikma, namuna, mezon, xatolar)</t>
        </is>
      </c>
      <c r="D7" s="63" t="n"/>
      <c r="E7" s="63" t="n"/>
      <c r="F7" s="64" t="n"/>
    </row>
    <row r="8" ht="30" customHeight="1" s="56">
      <c r="B8" s="61" t="inlineStr">
        <is>
          <t>Geometriya</t>
        </is>
      </c>
      <c r="C8" s="62" t="inlineStr">
        <is>
          <t>16 ta mavzu — to'liq batafsil, bosqichlar bo'yicha</t>
        </is>
      </c>
      <c r="D8" s="63" t="n"/>
      <c r="E8" s="63" t="n"/>
      <c r="F8" s="64" t="n"/>
    </row>
    <row r="9" ht="30" customHeight="1" s="56">
      <c r="B9" s="61" t="inlineStr">
        <is>
          <t>Rasmiy dastur</t>
        </is>
      </c>
      <c r="C9" s="62" t="inlineStr">
        <is>
          <t>«Global Education in Karshi» dasturi: Matematika/Algebra/Geometriya — soatlar (jami/nazariy/amaliy)</t>
        </is>
      </c>
      <c r="D9" s="63" t="n"/>
      <c r="E9" s="63" t="n"/>
      <c r="F9" s="64" t="n"/>
    </row>
    <row r="11" ht="15" customHeight="1" s="56">
      <c r="B11" s="60" t="inlineStr">
        <is>
          <t>Yo'l xarita — qisqacha (batafsil reja Algebra/Geometriya sahifalarida):</t>
        </is>
      </c>
    </row>
    <row r="12" ht="27.75" customHeight="1" s="56">
      <c r="B12" s="65" t="inlineStr">
        <is>
          <t>Fan</t>
        </is>
      </c>
      <c r="C12" s="65" t="inlineStr">
        <is>
          <t>Bosqich</t>
        </is>
      </c>
      <c r="D12" s="65" t="inlineStr">
        <is>
          <t>Mavzu</t>
        </is>
      </c>
      <c r="E12" s="65" t="inlineStr">
        <is>
          <t>Tavsiya hafta</t>
        </is>
      </c>
      <c r="F12" s="65" t="inlineStr">
        <is>
          <t>Tavsiya soat</t>
        </is>
      </c>
    </row>
    <row r="13" ht="15" customHeight="1" s="56">
      <c r="B13" s="66" t="inlineStr">
        <is>
          <t>Algebra</t>
        </is>
      </c>
      <c r="C13" s="67" t="n">
        <v>6</v>
      </c>
      <c r="D13" s="67" t="n">
        <v>16</v>
      </c>
      <c r="E13" s="67" t="n">
        <v>26</v>
      </c>
      <c r="F13" s="67" t="n">
        <v>156</v>
      </c>
    </row>
    <row r="14" ht="15" customHeight="1" s="56">
      <c r="B14" s="66" t="inlineStr">
        <is>
          <t>Geometriya</t>
        </is>
      </c>
      <c r="C14" s="67" t="n">
        <v>5</v>
      </c>
      <c r="D14" s="67" t="n">
        <v>16</v>
      </c>
      <c r="E14" s="67" t="n">
        <v>26</v>
      </c>
      <c r="F14" s="67" t="n">
        <v>156</v>
      </c>
    </row>
    <row r="15" ht="15" customHeight="1" s="56">
      <c r="B15" s="68" t="inlineStr">
        <is>
          <t>JAMI</t>
        </is>
      </c>
      <c r="C15" s="69">
        <f>SUM(C13:C14)</f>
        <v/>
      </c>
      <c r="D15" s="69">
        <f>SUM(D13:D14)</f>
        <v/>
      </c>
      <c r="E15" s="69">
        <f>SUM(E13:E14)</f>
        <v/>
      </c>
      <c r="F15" s="69">
        <f>SUM(F13:F14)</f>
        <v/>
      </c>
    </row>
    <row r="17" ht="15" customHeight="1" s="56">
      <c r="B17" s="60" t="inlineStr">
        <is>
          <t>Rasmiy dastur soatlari (Global Education in Karshi):</t>
        </is>
      </c>
    </row>
    <row r="18" ht="27.75" customHeight="1" s="56">
      <c r="B18" s="65" t="inlineStr">
        <is>
          <t>Bo'lim</t>
        </is>
      </c>
      <c r="C18" s="65" t="inlineStr">
        <is>
          <t>Mavzu soni</t>
        </is>
      </c>
      <c r="D18" s="65" t="inlineStr">
        <is>
          <t>Jami soat</t>
        </is>
      </c>
      <c r="E18" s="65" t="inlineStr">
        <is>
          <t>Nazariy</t>
        </is>
      </c>
      <c r="F18" s="65" t="inlineStr">
        <is>
          <t>Amaliy</t>
        </is>
      </c>
    </row>
    <row r="19" ht="15" customHeight="1" s="56">
      <c r="B19" s="66" t="inlineStr">
        <is>
          <t>Matematika</t>
        </is>
      </c>
      <c r="C19" s="67" t="n">
        <v>12</v>
      </c>
      <c r="D19" s="67" t="n">
        <v>54</v>
      </c>
      <c r="E19" s="67" t="n">
        <v>24</v>
      </c>
      <c r="F19" s="67" t="n">
        <v>30</v>
      </c>
    </row>
    <row r="20" ht="15" customHeight="1" s="56">
      <c r="B20" s="66" t="inlineStr">
        <is>
          <t>Algebra</t>
        </is>
      </c>
      <c r="C20" s="67" t="n">
        <v>21</v>
      </c>
      <c r="D20" s="67" t="n">
        <v>98</v>
      </c>
      <c r="E20" s="67" t="n">
        <v>42</v>
      </c>
      <c r="F20" s="67" t="n">
        <v>56</v>
      </c>
    </row>
    <row r="21" ht="15" customHeight="1" s="56">
      <c r="B21" s="66" t="inlineStr">
        <is>
          <t>Geometriya</t>
        </is>
      </c>
      <c r="C21" s="67" t="n">
        <v>19</v>
      </c>
      <c r="D21" s="67" t="n">
        <v>108</v>
      </c>
      <c r="E21" s="67" t="n">
        <v>40</v>
      </c>
      <c r="F21" s="67" t="n">
        <v>68</v>
      </c>
    </row>
    <row r="22" ht="15" customHeight="1" s="56">
      <c r="B22" s="70" t="inlineStr">
        <is>
          <t>UMUMIY</t>
        </is>
      </c>
      <c r="C22" s="71">
        <f>SUM(C19:C21)</f>
        <v/>
      </c>
      <c r="D22" s="71">
        <f>SUM(D19:D21)</f>
        <v/>
      </c>
      <c r="E22" s="71">
        <f>SUM(E19:E21)</f>
        <v/>
      </c>
      <c r="F22" s="71">
        <f>SUM(F19:F21)</f>
        <v/>
      </c>
    </row>
    <row r="23" ht="15" customHeight="1" s="56">
      <c r="B23" s="59">
        <f>CONCATENATE("Amaliy mashg'ulot ulushi: ",ROUND(F22/D22*100,0),"%  (dastur talabi: kamida 60%)")</f>
        <v/>
      </c>
    </row>
    <row r="25" ht="15" customHeight="1" s="56">
      <c r="B25" s="60" t="inlineStr">
        <is>
          <t>Qanday foydalanish:</t>
        </is>
      </c>
    </row>
    <row r="26" ht="25.5" customHeight="1" s="56">
      <c r="B26" s="72" t="inlineStr">
        <is>
          <t>•  Mavzularni tartib bilan o'rganing (1 → oxirgi) — har biri oldingisiga tayanadi.</t>
        </is>
      </c>
    </row>
    <row r="27" ht="25.5" customHeight="1" s="56">
      <c r="B27" s="72" t="inlineStr">
        <is>
          <t>•  Har mavzu: maqsad → kichik mavzular → formulalar → namuna → mashq.</t>
        </is>
      </c>
    </row>
    <row r="28" ht="25.5" customHeight="1" s="56">
      <c r="B28" s="72" t="inlineStr">
        <is>
          <t>•  Har mavzudan nazoratda kamida 70% to'plab keyingisiga o'ting.</t>
        </is>
      </c>
    </row>
    <row r="29" ht="25.5" customHeight="1" s="56">
      <c r="B29" s="72" t="inlineStr">
        <is>
          <t>•  Dastur talabi: darslarning kamida 60% i amaliy mashg'ulot bo'lsin.</t>
        </is>
      </c>
    </row>
    <row r="30" ht="25.5" customHeight="1" s="56">
      <c r="B30" s="72" t="inlineStr">
        <is>
          <t>•  Batafsil interaktiv (HTML) va Word qo'llanmalar ham shu papkada mavjud.</t>
        </is>
      </c>
    </row>
  </sheetData>
  <mergeCells count="12">
    <mergeCell ref="B4:F4"/>
    <mergeCell ref="B30:F30"/>
    <mergeCell ref="C9:F9"/>
    <mergeCell ref="B29:F29"/>
    <mergeCell ref="B2:F2"/>
    <mergeCell ref="C8:F8"/>
    <mergeCell ref="B28:F28"/>
    <mergeCell ref="B3:F3"/>
    <mergeCell ref="C7:F7"/>
    <mergeCell ref="B23:F23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5" min="1" max="1"/>
    <col width="20" customWidth="1" style="55" min="2" max="2"/>
    <col width="24" customWidth="1" style="55" min="3" max="3"/>
    <col width="14" customWidth="1" style="55" min="4" max="4"/>
    <col width="22" customWidth="1" style="55" min="5" max="5"/>
    <col width="38" customWidth="1" style="55" min="6" max="6"/>
    <col width="40" customWidth="1" style="55" min="7" max="7"/>
    <col width="38" customWidth="1" style="55" min="8" max="8"/>
    <col width="32" customWidth="1" style="55" min="9" max="9"/>
    <col width="26" customWidth="1" style="55" min="10" max="10"/>
    <col width="30" customWidth="1" style="55" min="11" max="11"/>
    <col width="26" customWidth="1" style="55" min="12" max="12"/>
    <col width="28" customWidth="1" style="55" min="13" max="13"/>
    <col width="20" customWidth="1" style="55" min="14" max="14"/>
  </cols>
  <sheetData>
    <row r="1" ht="25.5" customHeight="1" s="56">
      <c r="A1" s="73" t="inlineStr">
        <is>
          <t>ALGEBRA — to'liq o'quv yo'li (16 mavzu • 6 bosqich • ~26 hafta)</t>
        </is>
      </c>
    </row>
    <row r="2" ht="15" customHeight="1" s="56">
      <c r="A2" s="59" t="inlineStr">
        <is>
          <t>Mavzular tartib bilan o'rganiladi. Har mavzudan 70%+ to'plab keyingisiga o'ting.</t>
        </is>
      </c>
    </row>
    <row r="3" ht="30" customHeight="1" s="56">
      <c r="A3" s="74" t="inlineStr">
        <is>
          <t>№</t>
        </is>
      </c>
      <c r="B3" s="74" t="inlineStr">
        <is>
          <t>Bosqich</t>
        </is>
      </c>
      <c r="C3" s="74" t="inlineStr">
        <is>
          <t>Mavzu</t>
        </is>
      </c>
      <c r="D3" s="74" t="inlineStr">
        <is>
          <t>Tavsiya vaqt</t>
        </is>
      </c>
      <c r="E3" s="74" t="inlineStr">
        <is>
          <t>Old shart</t>
        </is>
      </c>
      <c r="F3" s="74" t="inlineStr">
        <is>
          <t>Maqsad</t>
        </is>
      </c>
      <c r="G3" s="74" t="inlineStr">
        <is>
          <t>Kichik mavzular</t>
        </is>
      </c>
      <c r="H3" s="74" t="inlineStr">
        <is>
          <t>Asosiy formulalar</t>
        </is>
      </c>
      <c r="I3" s="74" t="inlineStr">
        <is>
          <t>Ko'nikmalar</t>
        </is>
      </c>
      <c r="J3" s="74" t="inlineStr">
        <is>
          <t>Namuna — savol</t>
        </is>
      </c>
      <c r="K3" s="74" t="inlineStr">
        <is>
          <t>Namuna — yechim</t>
        </is>
      </c>
      <c r="L3" s="74" t="inlineStr">
        <is>
          <t>O'tish mezoni</t>
        </is>
      </c>
      <c r="M3" s="74" t="inlineStr">
        <is>
          <t>Tez-tez xatolar</t>
        </is>
      </c>
      <c r="N3" s="74" t="inlineStr">
        <is>
          <t>Manba fayl</t>
        </is>
      </c>
    </row>
    <row r="4" ht="189" customHeight="1" s="56">
      <c r="A4" s="75" t="n">
        <v>1</v>
      </c>
      <c r="B4" s="76" t="inlineStr">
        <is>
          <t>0-bosqich: Sonlar dunyosi (poydevor)</t>
        </is>
      </c>
      <c r="C4" s="77" t="inlineStr">
        <is>
          <t>Natural va butun sonlar</t>
        </is>
      </c>
      <c r="D4" s="78" t="inlineStr">
        <is>
          <t>1.5 hafta (~9 soat)</t>
        </is>
      </c>
      <c r="E4" s="77" t="inlineStr">
        <is>
          <t>Boshlang'ich arifmetika (qo'shish, ayirish, ko'paytirish, bo'lish)</t>
        </is>
      </c>
      <c r="F4" s="77" t="inlineStr">
        <is>
          <t>Sonlar tizimini, bo'linish qoidalarini va sonlarning xossalarini puxta egallash. Bu — butun algebraning poydevori; bu yerdagi har bir ko'nikma keyingi mavzularda qayta-qayta ishlatiladi.</t>
        </is>
      </c>
      <c r="G4" s="77" t="inlineStr">
        <is>
          <t>• Natural sonlar N, butun sonlar Z, ratsional Q va sonlar o'qi
• Bo'linish belgilari: 2, 3, 4, 5, 6, 8, 9, 10, 11, 25 ga bo'linish
• Tub va murakkab sonlar; sonni tub ko'paytuvchilarga ajratish
• EKUB (eng katta umumiy bo'luvchi) va EKUK (eng kichik umumiy karrali)
• Qoldiqli bo'lish, juft/toq sonlar
• Oddiy va o'nli kasrlar, ular ustida amallar
• Sonning bo'luvchilari soni va yig'indisi</t>
        </is>
      </c>
      <c r="H4" s="77" t="inlineStr">
        <is>
          <t>• Qoldiqli bo'lish:  a = b·q + r,   0 ≤ r &lt; b
• EKUB(a,b) · EKUK(a,b) = a · b
• Agar n = p₁^a · p₂^b · p₃^c bo'lsa, bo'luvchilar soni = (a+1)(b+1)(c+1)</t>
        </is>
      </c>
      <c r="I4" s="77" t="inlineStr">
        <is>
          <t>• Istalgan sonni tub ko'paytuvchilarga ajrata olish
• Ikki yoki uch sonning EKUB va EKUKini topa olish
• Bo'linish belgilari yordamida masala yechish
• Berilgan songa bo'lishda qoldiqni topa olish</t>
        </is>
      </c>
      <c r="J4" s="77" t="inlineStr">
        <is>
          <t>360 sonining nechta natural bo'luvchisi bor?</t>
        </is>
      </c>
      <c r="K4" s="77" t="inlineStr">
        <is>
          <t>360 = 2³ · 3² · 5¹ ⇒ bo'luvchilar soni = (3+1)(2+1)(1+1) = 4·3·2 = 24 ta.</t>
        </is>
      </c>
      <c r="L4" s="77" t="inlineStr">
        <is>
          <t>• 360, 1260 kabi sonlarni tub ko'paytuvchilarga ajrata olish
• EKUB/EKUK masalalarini 80% va undan yuqori aniqlikda yechish</t>
        </is>
      </c>
      <c r="M4" s="77" t="inlineStr">
        <is>
          <t>• 1 ni tub son deb hisoblash (1 tub son emas)
• EKUB va EKUKni o'zaro chalkashtirish</t>
        </is>
      </c>
      <c r="N4" s="77" t="inlineStr">
        <is>
          <t>Natural va Butun sonlar.pdf</t>
        </is>
      </c>
    </row>
    <row r="5" ht="175.5" customHeight="1" s="56">
      <c r="A5" s="79" t="n">
        <v>2</v>
      </c>
      <c r="B5" s="80" t="inlineStr">
        <is>
          <t>1-bosqich: Algebraik asoslar</t>
        </is>
      </c>
      <c r="C5" s="81" t="inlineStr">
        <is>
          <t>Algebraik ifodalar</t>
        </is>
      </c>
      <c r="D5" s="82" t="inlineStr">
        <is>
          <t>2 hafta (~12 soat)</t>
        </is>
      </c>
      <c r="E5" s="81" t="inlineStr">
        <is>
          <t>Natural va butun sonlar</t>
        </is>
      </c>
      <c r="F5" s="81" t="inlineStr">
        <is>
          <t>Harfli ifodalar bilan ishlashni, qisqa ko'paytirish formulalarini va ko'phadlarni ayniy almashtirishni egallash. Bu ko'nikmalar tenglama, tengsizlik va trigonometriyada doimiy kerak bo'ladi.</t>
        </is>
      </c>
      <c r="G5" s="81" t="inlineStr">
        <is>
          <t>• Bir had va ko'phadlar; ularni qo'shish, ayirish, ko'paytirish
• Qisqa ko'paytirish formulalari
• Ko'phadni ko'paytuvchilarga ajratish (umumiy ko'paytuvchi, guruhlash, formulalar)
• Algebraik kasrlar va ular bilan amallar (qisqartirish, qo'shish, ko'paytirish, bo'lish)
• Ayniy almashtirishlar — ifodalarni soddalashtirish
• Bezu teoremasi va ko'phadni (x − a) ga bo'lish</t>
        </is>
      </c>
      <c r="H5" s="81" t="inlineStr">
        <is>
          <t>• (a ± b)² = a² ± 2ab + b²
• a² − b² = (a − b)(a + b)
• (a ± b)³ = a³ ± 3a²b + 3ab² ± b³
• a³ ± b³ = (a ± b)(a² ∓ ab + b²)
• ax² + bx + c = a(x − x₁)(x − x₂)</t>
        </is>
      </c>
      <c r="I5" s="81" t="inlineStr">
        <is>
          <t>• Qisqa ko'paytirish formulalarini ikki tomonga ham erkin qo'llash
• Ko'phadni ko'paytuvchilarga ajrata olish
• Algebraik kasrlarni qisqartirish va ular ustida amal bajarish
• Murakkab ifodani soddalashtirish</t>
        </is>
      </c>
      <c r="J5" s="81" t="inlineStr">
        <is>
          <t>Soddalashtiring: (a + b)² − (a − b)²</t>
        </is>
      </c>
      <c r="K5" s="81" t="inlineStr">
        <is>
          <t>(a²+2ab+b²) − (a²−2ab+b²) = 4ab.</t>
        </is>
      </c>
      <c r="L5" s="81" t="inlineStr">
        <is>
          <t>• Barcha qisqa ko'paytirish formulalarini yoddan bilish
• 3–4 amaldan iborat ifodani xatosiz soddalashtirish</t>
        </is>
      </c>
      <c r="M5" s="81" t="inlineStr">
        <is>
          <t>• (a+b)² = a² + b² deb yozish (2ab ni tushirib qoldirish)
• Ko'paytuvchilarga ajratishda ishoralarni chalkashtirish</t>
        </is>
      </c>
      <c r="N5" s="81" t="inlineStr">
        <is>
          <t>Algebraik ifodalar.pdf</t>
        </is>
      </c>
    </row>
    <row r="6" ht="121.5" customHeight="1" s="56">
      <c r="A6" s="79" t="n">
        <v>3</v>
      </c>
      <c r="B6" s="80" t="inlineStr">
        <is>
          <t>1-bosqich: Algebraik asoslar</t>
        </is>
      </c>
      <c r="C6" s="81" t="inlineStr">
        <is>
          <t>Absolyut qiymat va modul</t>
        </is>
      </c>
      <c r="D6" s="82" t="inlineStr">
        <is>
          <t>1 hafta (~6 soat)</t>
        </is>
      </c>
      <c r="E6" s="81" t="inlineStr">
        <is>
          <t>Algebraik ifodalar; Sonlar o'qi</t>
        </is>
      </c>
      <c r="F6" s="81" t="inlineStr">
        <is>
          <t>Modul tushunchasini, uning geometrik ma'nosini hamda modulli tenglama va tengsizliklarni yechishni egallash.</t>
        </is>
      </c>
      <c r="G6" s="81" t="inlineStr">
        <is>
          <t>• Modul ta'rifi va geometrik ma'nosi (o'qda 0 dan masofa)
• Modulning asosiy xossalari
• Modulli tenglamalar: |f(x)| = a, |f(x)| = |g(x)|, |f(x)| = g(x)
• Modulli tengsizliklar: |x| &lt; a, |x| &gt; a
• Ko'p modulli ifodalar (oraliqlarga ajratib ochish)</t>
        </is>
      </c>
      <c r="H6" s="81" t="inlineStr">
        <is>
          <t>• |a| = a (a ≥ 0);  |a| = −a (a &lt; 0)
• |a| ≥ 0,  |a|² = a²,  √(a²) = |a|
• |ab| = |a|·|b|,  |a/b| = |a|/|b|
• |a + b| ≤ |a| + |b|  (uchburchak tengsizligi)
• |x| &lt; a ⇔ −a &lt; x &lt; a;   |x| &gt; a ⇔ x &lt; −a yoki x &gt; a</t>
        </is>
      </c>
      <c r="I6" s="81" t="inlineStr">
        <is>
          <t>• Modulni shart bo'yicha to'g'ri ochish
• Modulli tenglama va tengsizliklarni yechish
• Bir nechta modulli ifodani oraliqlarga ajratib yechish</t>
        </is>
      </c>
      <c r="J6" s="81" t="inlineStr">
        <is>
          <t>Tenglamani yeching: |x − 3| = 5</t>
        </is>
      </c>
      <c r="K6" s="81" t="inlineStr">
        <is>
          <t>x − 3 = 5 ⇒ x = 8,  yoki  x − 3 = −5 ⇒ x = −2.  Javob: x ∈ {−2; 8}.</t>
        </is>
      </c>
      <c r="L6" s="81" t="inlineStr">
        <is>
          <t>• |2x − 1| &lt; 3 kabi tengsizlikni to'g'ri yechib, oraliq sifatida yozish</t>
        </is>
      </c>
      <c r="M6" s="81" t="inlineStr">
        <is>
          <t>• |x| = −2 ning yechimi bor deb o'ylash (modul manfiy bo'lmaydi)
• Modulni ochishda ikkinchi (manfiy) holatni unutish</t>
        </is>
      </c>
      <c r="N6" s="81" t="inlineStr">
        <is>
          <t>Absolyt qiymat va modul.pdf</t>
        </is>
      </c>
    </row>
    <row r="7" ht="148.5" customHeight="1" s="56">
      <c r="A7" s="83" t="n">
        <v>4</v>
      </c>
      <c r="B7" s="84" t="inlineStr">
        <is>
          <t>2-bosqich: Daraja va ildiz</t>
        </is>
      </c>
      <c r="C7" s="85" t="inlineStr">
        <is>
          <t>Daraja va ildiz</t>
        </is>
      </c>
      <c r="D7" s="86" t="inlineStr">
        <is>
          <t>2 hafta (~12 soat)</t>
        </is>
      </c>
      <c r="E7" s="85" t="inlineStr">
        <is>
          <t>Algebraik ifodalar</t>
        </is>
      </c>
      <c r="F7" s="85" t="inlineStr">
        <is>
          <t>Butun va kasr ko'rsatkichli darajalar, ildizlar va ular bilan amallarni egallash. Logarifm, ko'rsatkichli funksiya va trigonometriyaga to'g'ridan-to'g'ri zamin.</t>
        </is>
      </c>
      <c r="G7" s="85" t="inlineStr">
        <is>
          <t>• Natural ko'rsatkichli daraja va uning xossalari
• Butun (nol va manfiy) ko'rsatkichli daraja
• n-darajali ildiz, kvadrat ildiz va ularning xossalari
• Kasr ko'rsatkichli daraja
• Ildizli ifodalarni soddalashtirish; maxrajni irratsionallikdan qutqarish
• Sonni standart ko'rinishda yozish</t>
        </is>
      </c>
      <c r="H7" s="85" t="inlineStr">
        <is>
          <t>• aᵐ · aⁿ = aᵐ⁺ⁿ,   aᵐ / aⁿ = aᵐ⁻ⁿ
• (aᵐ)ⁿ = aᵐⁿ,   (ab)ⁿ = aⁿ · bⁿ
• a⁰ = 1 (a ≠ 0),   a⁻ⁿ = 1/aⁿ
• ⁿ√a = a^(1/n),   a^(m/n) = ⁿ√(aᵐ)
• ⁿ√(ab) = ⁿ√a · ⁿ√b,   √(a²) = |a|</t>
        </is>
      </c>
      <c r="I7" s="85" t="inlineStr">
        <is>
          <t>• Daraja xossalarini erkin qo'llash
• Ildizli ifodalarni soddalashtirish
• Maxrajni ratsionallashtirish
• Kasr ko'rsatkichni ildizga va aksincha aylantirish</t>
        </is>
      </c>
      <c r="J7" s="85" t="inlineStr">
        <is>
          <t>Maxrajni ratsionallashtiring: 1 / (√3 − 1)</t>
        </is>
      </c>
      <c r="K7" s="85" t="inlineStr">
        <is>
          <t>Surat va maxrajni (√3 + 1) ga ko'paytiramiz: (√3+1) / ((√3)²−1²) = (√3+1) / (3−1) = (√3+1)/2.</t>
        </is>
      </c>
      <c r="L7" s="85" t="inlineStr">
        <is>
          <t>• Kasr ko'rsatkichli ifodalarni soddalashtira olish
• Ildizli amallarni va ratsionallashtirishni xatosiz bajarish</t>
        </is>
      </c>
      <c r="M7" s="85" t="inlineStr">
        <is>
          <t>• √(a² + b²) = a + b deb yozish (ildizni hadlarga ajratish — xato)
• Manfiy ko'rsatkich bilan ishlashda 1/aⁿ ni unutish</t>
        </is>
      </c>
      <c r="N7" s="85" t="inlineStr">
        <is>
          <t>Daraja va ildiz.pdf</t>
        </is>
      </c>
    </row>
    <row r="8" ht="162" customHeight="1" s="56">
      <c r="A8" s="87" t="n">
        <v>5</v>
      </c>
      <c r="B8" s="88" t="inlineStr">
        <is>
          <t>3-bosqich: Tenglama va tengsizliklar</t>
        </is>
      </c>
      <c r="C8" s="89" t="inlineStr">
        <is>
          <t>Kvadrat tenglama va ildizlar munosabati (Vyet teoremasi)</t>
        </is>
      </c>
      <c r="D8" s="90" t="inlineStr">
        <is>
          <t>2 hafta (~12 soat)</t>
        </is>
      </c>
      <c r="E8" s="89" t="inlineStr">
        <is>
          <t>Algebraik ifodalar; Daraja va ildiz</t>
        </is>
      </c>
      <c r="F8" s="89" t="inlineStr">
        <is>
          <t>Kvadrat tenglamani yechish, diskriminant orqali tahlil qilish, Vyet teoremasi va ildizlar orasidagi munosabatlarni egallash.</t>
        </is>
      </c>
      <c r="G8" s="89" t="inlineStr">
        <is>
          <t>• Kvadrat tenglama ax² + bx + c = 0; diskriminant
• Ildiz formulalari va to'liqsiz kvadrat tenglamalar
• Vyet teoremasi
• Ildizlar ustida simmetrik ifodalar (x₁²+x₂², 1/x₁+1/x₂, ...)
• Kvadrat uchhadni ko'paytuvchilarga ajratish
• Kvadrat tenglamaga keltiriladigan tenglamalar (bikvadrat va h.k.)</t>
        </is>
      </c>
      <c r="H8" s="89" t="inlineStr">
        <is>
          <t>• D = b² − 4ac
• x₁,₂ = (−b ± √D) / (2a)
• Vyet:  x₁ + x₂ = −b/a,   x₁ · x₂ = c/a
• x₁² + x₂² = (x₁ + x₂)² − 2x₁x₂
• 1/x₁ + 1/x₂ = (x₁ + x₂) / (x₁ · x₂)</t>
        </is>
      </c>
      <c r="I8" s="89" t="inlineStr">
        <is>
          <t>• D orqali ildizlar sonini aniqlash (D&gt;0, D=0, D&lt;0)
• Vyet teoremasi bilan ildizlarni topmasdan munosabatlarni hisoblash
• Simmetrik ifodalarni hisoblash
• Oddiy parametrli masalalarni yechish</t>
        </is>
      </c>
      <c r="J8" s="89" t="inlineStr">
        <is>
          <t>x² − 5x + 6 = 0 tenglama uchun x₁² + x₂² ni toping.</t>
        </is>
      </c>
      <c r="K8" s="89" t="inlineStr">
        <is>
          <t>Vyet bo'yicha x₁+x₂ = 5, x₁·x₂ = 6. Demak x₁²+x₂² = 5² − 2·6 = 25 − 12 = 13.</t>
        </is>
      </c>
      <c r="L8" s="89" t="inlineStr">
        <is>
          <t>• Diskriminant va Vyet teoremasini erkin qo'llash
• Ildizlarni topmasdan simmetrik ifodalarni hisoblash</t>
        </is>
      </c>
      <c r="M8" s="89" t="inlineStr">
        <is>
          <t>• Bosh koeffitsient a ≠ 1 bo'lganda −b/a va c/a ni unutish
• D &lt; 0 bo'lganda haqiqiy ildiz qidirish</t>
        </is>
      </c>
      <c r="N8" s="89" t="inlineStr">
        <is>
          <t>Kvadrat tenglamani yechimlari orasidagi munosabat kachestva.pdf</t>
        </is>
      </c>
    </row>
    <row r="9" ht="135" customHeight="1" s="56">
      <c r="A9" s="87" t="n">
        <v>6</v>
      </c>
      <c r="B9" s="88" t="inlineStr">
        <is>
          <t>3-bosqich: Tenglama va tengsizliklar</t>
        </is>
      </c>
      <c r="C9" s="89" t="inlineStr">
        <is>
          <t>Tengsizliklar</t>
        </is>
      </c>
      <c r="D9" s="90" t="inlineStr">
        <is>
          <t>2 hafta (~12 soat)</t>
        </is>
      </c>
      <c r="E9" s="89" t="inlineStr">
        <is>
          <t>Algebraik ifodalar; Kvadrat tenglama; Modul</t>
        </is>
      </c>
      <c r="F9" s="89" t="inlineStr">
        <is>
          <t>Chiziqli, kvadrat va kasr-ratsional tengsizliklarni hamda oraliqlar usulini egallash.</t>
        </is>
      </c>
      <c r="G9" s="89" t="inlineStr">
        <is>
          <t>• Sonli tengsizliklar va ularning xossalari
• Chiziqli tengsizlik va tengsizliklar sistemasi
• Kvadrat tengsizlik
• Oraliqlar usuli (kasr-ratsional tengsizliklar)
• Modulli tengsizliklar (takror)
• Ikki tomonli tengsizliklar</t>
        </is>
      </c>
      <c r="H9" s="89" t="inlineStr">
        <is>
          <t>• Tengsizlikni manfiy songa ko'paytirsak/bo'lsak, ishora teskari bo'ladi
• ax² + bx + c &gt; 0 yechimi a ishorasi va D ga bog'liq
• Oraliqlar usuli: nollarni belgilab, har oraliqda ishorani aniqlash</t>
        </is>
      </c>
      <c r="I9" s="89" t="inlineStr">
        <is>
          <t>• Oraliqlar usulini to'liq qo'llash
• Kvadrat tengsizlikni yechish
• Tengsizliklar sistemasini yechish
• Yechimni oraliq ko'rinishida to'g'ri yozish</t>
        </is>
      </c>
      <c r="J9" s="89" t="inlineStr">
        <is>
          <t>Yeching: (x − 1)(x − 4) &lt; 0</t>
        </is>
      </c>
      <c r="K9" s="89" t="inlineStr">
        <is>
          <t>Nollari: x = 1 va x = 4. Oraliqlar usuli bo'yicha ko'paytma faqat 1 &lt; x &lt; 4 da manfiy. Javob: x ∈ (1; 4).</t>
        </is>
      </c>
      <c r="L9" s="89" t="inlineStr">
        <is>
          <t>• Kasr-ratsional tengsizlikni oraliqlar usulida to'g'ri yechish
• Yechimni oraliq belgilarida ifodalash</t>
        </is>
      </c>
      <c r="M9" s="89" t="inlineStr">
        <is>
          <t>• Manfiyga ko'paytirganda ishorani o'zgartmaslik
• Kasrli tengsizlikda maxraj nolini (ta'rif sohasini) e'tibordan chiqarish</t>
        </is>
      </c>
      <c r="N9" s="89" t="inlineStr">
        <is>
          <t>tengsizlik.pdf</t>
        </is>
      </c>
    </row>
    <row r="10" ht="108" customHeight="1" s="56">
      <c r="A10" s="91" t="n">
        <v>7</v>
      </c>
      <c r="B10" s="92" t="inlineStr">
        <is>
          <t>4-bosqich: Ketma-ketliklar (progressiyalar)</t>
        </is>
      </c>
      <c r="C10" s="93" t="inlineStr">
        <is>
          <t>Arifmetik progressiya</t>
        </is>
      </c>
      <c r="D10" s="94" t="inlineStr">
        <is>
          <t>1 hafta (~6 soat)</t>
        </is>
      </c>
      <c r="E10" s="93" t="inlineStr">
        <is>
          <t>Algebraik ifodalar</t>
        </is>
      </c>
      <c r="F10" s="93" t="inlineStr">
        <is>
          <t>Arifmetik progressiya ta'rifi, hadlari va yig'indisi formulalarini egallash va amaliy masalalarda qo'llash.</t>
        </is>
      </c>
      <c r="G10" s="93" t="inlineStr">
        <is>
          <t>• Ketma-ketlik tushunchasi
• Arifmetik progressiya ta'rifi va ayirma d
• n-hadi formulasi
• Dastlabki n ta hadning yig'indisi
• O'rta arifmetik xossasi
• Amaliy (matnli) masalalar</t>
        </is>
      </c>
      <c r="H10" s="93" t="inlineStr">
        <is>
          <t>• aₙ = a₁ + (n − 1)·d
• Sₙ = (a₁ + aₙ)/2 · n
• Sₙ = (2a₁ + (n − 1)d)/2 · n
• aₙ = (aₙ₋₁ + aₙ₊₁)/2  (o'rta arifmetik)</t>
        </is>
      </c>
      <c r="I10" s="93" t="inlineStr">
        <is>
          <t>• Berilgan hadlardan a₁ va d ni topish
• n-hadni va yig'indini hisoblash
• Matnli masalani progressiyaga keltirish</t>
        </is>
      </c>
      <c r="J10" s="93" t="inlineStr">
        <is>
          <t>a₁ = 3, d = 4. a₁₀ va S₁₀ ni toping.</t>
        </is>
      </c>
      <c r="K10" s="93" t="inlineStr">
        <is>
          <t>a₁₀ = 3 + 9·4 = 39.  S₁₀ = (3 + 39)/2 · 10 = 21·10 = 210.</t>
        </is>
      </c>
      <c r="L10" s="93" t="inlineStr">
        <is>
          <t>• aₙ va Sₙ ni erkin hisoblash
• Matnli masalani yecha olish</t>
        </is>
      </c>
      <c r="M10" s="93" t="inlineStr">
        <is>
          <t>• (n − 1) o'rniga n ishlatish
• Had nomeri n va had qiymati aₙ ni chalkashtirish</t>
        </is>
      </c>
      <c r="N10" s="93" t="inlineStr">
        <is>
          <t>Arifmetik Progressiya.pdf</t>
        </is>
      </c>
    </row>
    <row r="11" ht="135" customHeight="1" s="56">
      <c r="A11" s="91" t="n">
        <v>8</v>
      </c>
      <c r="B11" s="92" t="inlineStr">
        <is>
          <t>4-bosqich: Ketma-ketliklar (progressiyalar)</t>
        </is>
      </c>
      <c r="C11" s="93" t="inlineStr">
        <is>
          <t>Geometrik progressiya</t>
        </is>
      </c>
      <c r="D11" s="94" t="inlineStr">
        <is>
          <t>1 hafta (~6 soat)</t>
        </is>
      </c>
      <c r="E11" s="93" t="inlineStr">
        <is>
          <t>Daraja va ildiz; Arifmetik progressiya</t>
        </is>
      </c>
      <c r="F11" s="93" t="inlineStr">
        <is>
          <t>Geometrik progressiya, maxraj q, hadlari va yig'indilari hamda cheksiz kamayuvchi progressiyani egallash.</t>
        </is>
      </c>
      <c r="G11" s="93" t="inlineStr">
        <is>
          <t>• Geometrik progressiya ta'rifi va maxraj q
• n-hadi formulasi
• Dastlabki n ta hadning yig'indisi
• Cheksiz kamayuvchi geometrik progressiya yig'indisi (|q| &lt; 1)
• O'rta geometrik xossasi
• Davriy o'nli kasrni oddiy kasrga aylantirish</t>
        </is>
      </c>
      <c r="H11" s="93" t="inlineStr">
        <is>
          <t>• bₙ = b₁ · qⁿ⁻¹
• Sₙ = b₁·(qⁿ − 1)/(q − 1),   q ≠ 1
• S = b₁ / (1 − q),   |q| &lt; 1  (cheksiz yig'indi)
• bₙ² = bₙ₋₁ · bₙ₊₁  (o'rta geometrik)</t>
        </is>
      </c>
      <c r="I11" s="93" t="inlineStr">
        <is>
          <t>• Maxraj q ni topish
• Chekli va cheksiz yig'indini hisoblash
• Davriy kasrni oddiy kasrga aylantirish</t>
        </is>
      </c>
      <c r="J11" s="93" t="inlineStr">
        <is>
          <t>Cheksiz yig'indini toping: 1 + 1/2 + 1/4 + 1/8 + ...</t>
        </is>
      </c>
      <c r="K11" s="93" t="inlineStr">
        <is>
          <t>b₁ = 1, q = 1/2, |q| &lt; 1. S = b₁/(1 − q) = 1/(1 − 1/2) = 1/(1/2) = 2.</t>
        </is>
      </c>
      <c r="L11" s="93" t="inlineStr">
        <is>
          <t>• Cheksiz kamayuvchi progressiya yig'indisini hisoblash
• Aralash (progressiya turlari) masalalarini yechish</t>
        </is>
      </c>
      <c r="M11" s="93" t="inlineStr">
        <is>
          <t>• q = 1 holatda Sₙ formulasini qo'llash (bo'luvchi 0 bo'ladi)
• Cheksiz yig'indida |q| &lt; 1 shartini tekshirmaslik</t>
        </is>
      </c>
      <c r="N11" s="93" t="inlineStr">
        <is>
          <t>Geometrik Progressiya.pdf</t>
        </is>
      </c>
    </row>
    <row r="12" ht="108" customHeight="1" s="56">
      <c r="A12" s="95" t="n">
        <v>9</v>
      </c>
      <c r="B12" s="96" t="inlineStr">
        <is>
          <t>5-bosqich: Logarifm va ko'rsatkichli</t>
        </is>
      </c>
      <c r="C12" s="97" t="inlineStr">
        <is>
          <t>Logarifm</t>
        </is>
      </c>
      <c r="D12" s="98" t="inlineStr">
        <is>
          <t>1.5 hafta (~9 soat)</t>
        </is>
      </c>
      <c r="E12" s="97" t="inlineStr">
        <is>
          <t>Daraja va ildiz</t>
        </is>
      </c>
      <c r="F12" s="97" t="inlineStr">
        <is>
          <t>Logarifm ta'rifi va xossalarini egallash. Bu — logarifmik va ko'rsatkichli tenglama-tengsizliklarning kaliti.</t>
        </is>
      </c>
      <c r="G12" s="97" t="inlineStr">
        <is>
          <t>• Logarifm ta'rifi: logₐb = c ⇔ aᶜ = b  (a &gt; 0, a ≠ 1, b &gt; 0)
• O'nli (lg) va natural (ln) logarifm
• Logarifmning asosiy xossalari
• Asosni almashtirish formulasi
• Logarifmlash va potensirlash
• Logarifmik ifodalarni soddalashtirish</t>
        </is>
      </c>
      <c r="H12" s="97" t="inlineStr">
        <is>
          <t>• logₐ(xy) = logₐx + logₐy
• logₐ(x/y) = logₐx − logₐy
• logₐ(xⁿ) = n · logₐx
• logₐb = log꜀b / log꜀a  (asosni almashtirish)
• a^(logₐb) = b,   logₐaⁿ = n,   logₐ1 = 0,   logₐa = 1</t>
        </is>
      </c>
      <c r="I12" s="97" t="inlineStr">
        <is>
          <t>• Logarifm xossalarini ikki tomonga ham qo'llash
• Logarifmik ifodalarni soddalashtirish
• Asosni almashtirish formulasidan foydalanish
• Ta'rif sohasini (ODZ) aniqlash</t>
        </is>
      </c>
      <c r="J12" s="97" t="inlineStr">
        <is>
          <t>Hisoblang: log₆2 + log₆3</t>
        </is>
      </c>
      <c r="K12" s="97" t="inlineStr">
        <is>
          <t>log₆2 + log₆3 = log₆(2·3) = log₆6 = 1.</t>
        </is>
      </c>
      <c r="L12" s="97" t="inlineStr">
        <is>
          <t>• Logarifmik ifodalarni erkin soddalashtirish
• ODZ ni to'g'ri aniqlash</t>
        </is>
      </c>
      <c r="M12" s="97" t="inlineStr">
        <is>
          <t>• log(x + y) = logx + logy deb yozish (xato!)
• b &gt; 0 va asos shartlarini (ODZ) unutish</t>
        </is>
      </c>
      <c r="N12" s="97" t="inlineStr">
        <is>
          <t>logarifm.pdf</t>
        </is>
      </c>
    </row>
    <row r="13" ht="148.5" customHeight="1" s="56">
      <c r="A13" s="95" t="n">
        <v>10</v>
      </c>
      <c r="B13" s="96" t="inlineStr">
        <is>
          <t>5-bosqich: Logarifm va ko'rsatkichli</t>
        </is>
      </c>
      <c r="C13" s="97" t="inlineStr">
        <is>
          <t>Ko'rsatkichli tenglama</t>
        </is>
      </c>
      <c r="D13" s="98" t="inlineStr">
        <is>
          <t>1.5 hafta (~9 soat)</t>
        </is>
      </c>
      <c r="E13" s="97" t="inlineStr">
        <is>
          <t>Daraja va ildiz; Logarifm</t>
        </is>
      </c>
      <c r="F13" s="97" t="inlineStr">
        <is>
          <t>Ko'rsatkichli tenglamalarning asosiy turlarini va yechish usullarini egallash.</t>
        </is>
      </c>
      <c r="G13" s="97" t="inlineStr">
        <is>
          <t>• Ko'rsatkichli funksiya y = aˣ va uning xossalari
• Asoslarni tenglashtirish: a^f(x) = a^g(x) ⇒ f(x) = g(x)
• Umumiy ko'paytuvchini qavsdan chiqarish
• Yangi o'zgaruvchi kiritish (almashtirish) — kvadrat tenglamaga keltirish
• Bir jinsli (gomogen) ko'rsatkichli tenglamalar
• Logarifmlash usuli</t>
        </is>
      </c>
      <c r="H13" s="97" t="inlineStr">
        <is>
          <t>• a^f = a^g ⇔ f = g   (a &gt; 0, a ≠ 1)
• aˣ = b ⇒ x = logₐb   (b &gt; 0)
• Almashtirish:  t = aˣ,  bunda t &gt; 0</t>
        </is>
      </c>
      <c r="I13" s="97" t="inlineStr">
        <is>
          <t>• Asoslarni bir xil ko'rinishga keltirish
• Almashtirish kiritib kvadrat tenglamaga keltirish
• Bir jinsli tenglamani yechish</t>
        </is>
      </c>
      <c r="J13" s="97" t="inlineStr">
        <is>
          <t>Yeching: 4ˣ − 3·2ˣ − 4 = 0</t>
        </is>
      </c>
      <c r="K13" s="97" t="inlineStr">
        <is>
          <t>4ˣ = (2ˣ)². t = 2ˣ &gt; 0 deylik: t² − 3t − 4 = 0 ⇒ t = 4 yoki t = −1. t &gt; 0 bo'lgani uchun t = 4 ⇒ 2ˣ = 4 ⇒ x = 2.</t>
        </is>
      </c>
      <c r="L13" s="97" t="inlineStr">
        <is>
          <t>• Almashtirishli tenglamani boshidan oxirigacha to'liq yechish</t>
        </is>
      </c>
      <c r="M13" s="97" t="inlineStr">
        <is>
          <t>• t = aˣ &gt; 0 shartini tekshirmay manfiy yechimni qabul qilish
• Asoslarni noto'g'ri tenglashtirish</t>
        </is>
      </c>
      <c r="N13" s="97" t="inlineStr">
        <is>
          <t>ko'rsatkichli tenglama.pdf</t>
        </is>
      </c>
    </row>
    <row r="14" ht="121.5" customHeight="1" s="56">
      <c r="A14" s="95" t="n">
        <v>11</v>
      </c>
      <c r="B14" s="96" t="inlineStr">
        <is>
          <t>5-bosqich: Logarifm va ko'rsatkichli</t>
        </is>
      </c>
      <c r="C14" s="97" t="inlineStr">
        <is>
          <t>Logarifmik tenglama</t>
        </is>
      </c>
      <c r="D14" s="98" t="inlineStr">
        <is>
          <t>1.5 hafta (~9 soat)</t>
        </is>
      </c>
      <c r="E14" s="97" t="inlineStr">
        <is>
          <t>Logarifm; Ko'rsatkichli tenglama</t>
        </is>
      </c>
      <c r="F14" s="97" t="inlineStr">
        <is>
          <t>Logarifmik tenglamalarni ta'rif sohasi (ODZ) bilan to'g'ri yechishni egallash.</t>
        </is>
      </c>
      <c r="G14" s="97" t="inlineStr">
        <is>
          <t>• logₐf(x) = b ⇒ f(x) = aᵇ
• logₐf(x) = logₐg(x) ⇒ f(x) = g(x)  (ODZ bilan)
• Yangi o'zgaruvchi kiritish (t = logₐx)
• Turli asosli logarifmlar va asosni almashtirish
• ODZ topish va chet ildizlarni tekshirish</t>
        </is>
      </c>
      <c r="H14" s="97" t="inlineStr">
        <is>
          <t>• logₐf = logₐg ⇔ f = g &gt; 0
• logₐf = b ⇔ f = aᵇ
• Almashtirish:  t = logₐx</t>
        </is>
      </c>
      <c r="I14" s="97" t="inlineStr">
        <is>
          <t>• Ta'rif sohasini (ODZ) topish
• Potensirlash orqali logarifmni yo'qotish
• Almashtirish kiritish
• Chet ildizlarni ODZ orqali tashlash</t>
        </is>
      </c>
      <c r="J14" s="97" t="inlineStr">
        <is>
          <t>Yeching: log₂(x − 1) + log₂(x + 1) = 3</t>
        </is>
      </c>
      <c r="K14" s="97" t="inlineStr">
        <is>
          <t>ODZ: x &gt; 1. log₂((x−1)(x+1)) = 3 ⇒ x² − 1 = 2³ = 8 ⇒ x² = 9 ⇒ x = 3 yoki x = −3. ODZ bo'yicha faqat x = 3.</t>
        </is>
      </c>
      <c r="L14" s="97" t="inlineStr">
        <is>
          <t>• ODZ ni hisobga olib, chet ildizlarni to'g'ri tashlay olish</t>
        </is>
      </c>
      <c r="M14" s="97" t="inlineStr">
        <is>
          <t>• ODZ ni tekshirmaslik
• Chet ildizni javobda qoldirish</t>
        </is>
      </c>
      <c r="N14" s="97" t="inlineStr">
        <is>
          <t>Logorifm Tenglama.pdf</t>
        </is>
      </c>
    </row>
    <row r="15" ht="108" customHeight="1" s="56">
      <c r="A15" s="95" t="n">
        <v>12</v>
      </c>
      <c r="B15" s="96" t="inlineStr">
        <is>
          <t>5-bosqich: Logarifm va ko'rsatkichli</t>
        </is>
      </c>
      <c r="C15" s="97" t="inlineStr">
        <is>
          <t>Ko'rsatkichli va logarifmik tengsizliklar</t>
        </is>
      </c>
      <c r="D15" s="98" t="inlineStr">
        <is>
          <t>1.5 hafta (~9 soat)</t>
        </is>
      </c>
      <c r="E15" s="97" t="inlineStr">
        <is>
          <t>Tengsizliklar; Ko'rsatkichli tenglama; Logarifmik tenglama</t>
        </is>
      </c>
      <c r="F15" s="97" t="inlineStr">
        <is>
          <t>Asos 1 dan katta yoki kichik bo'lgan hollarda ishora qoidasini hisobga olib tengsizlik yechishni egallash.</t>
        </is>
      </c>
      <c r="G15" s="97" t="inlineStr">
        <is>
          <t>• Ko'rsatkichli tengsizlik: a^f va a^g (a &gt; 1 va 0 &lt; a &lt; 1 hollar)
• Logarifmik tengsizlik
• Asos 0 &lt; a &lt; 1 bo'lganda ishoraning teskari bo'lishi
• Almashtirish usuli
• Ta'rif sohasi (ODZ) bilan birga yechish</t>
        </is>
      </c>
      <c r="H15" s="97" t="inlineStr">
        <is>
          <t>• a &gt; 1:  a^f &gt; a^g ⇔ f &gt; g
• 0 &lt; a &lt; 1:  a^f &gt; a^g ⇔ f &lt; g  (ishora teskari!)
• a &gt; 1:  logₐf &gt; logₐg ⇔ f &gt; g &gt; 0
• 0 &lt; a &lt; 1:  logₐf &gt; logₐg ⇔ 0 &lt; f &lt; g</t>
        </is>
      </c>
      <c r="I15" s="97" t="inlineStr">
        <is>
          <t>• Asos qiymatiga qarab ishorani to'g'ri qo'yish
• ODZ va tengsizlikni birga yechish
• Almashtirish kiritib tengsizlikni soddalashtirish</t>
        </is>
      </c>
      <c r="J15" s="97" t="inlineStr">
        <is>
          <t>Yeching: (1/2)ˣ &gt; 8</t>
        </is>
      </c>
      <c r="K15" s="97" t="inlineStr">
        <is>
          <t>8 = 2³ = (1/2)⁻³. Demak (1/2)ˣ &gt; (1/2)⁻³. Asos 1/2 &lt; 1 bo'lgani uchun ishora teskari: x &lt; −3.</t>
        </is>
      </c>
      <c r="L15" s="97" t="inlineStr">
        <is>
          <t>• 0 &lt; a &lt; 1 holatda ishorani to'g'ri o'zgartirish
• Logarifmik tengsizlikni ODZ bilan to'liq yechish</t>
        </is>
      </c>
      <c r="M15" s="97" t="inlineStr">
        <is>
          <t>• Asos 1 dan kichik bo'lganda ishorani o'zgartmaslik
• Logarifmik tengsizlikda ODZ ni unutish</t>
        </is>
      </c>
      <c r="N15" s="97" t="inlineStr">
        <is>
          <t>Ko'rsatkichli va logarifm tengsizliklar.pdf</t>
        </is>
      </c>
    </row>
    <row r="16" ht="148.5" customHeight="1" s="56">
      <c r="A16" s="99" t="n">
        <v>13</v>
      </c>
      <c r="B16" s="100" t="inlineStr">
        <is>
          <t>6-bosqich: Trigonometriya</t>
        </is>
      </c>
      <c r="C16" s="101" t="inlineStr">
        <is>
          <t>Trigonometrik funksiyalar</t>
        </is>
      </c>
      <c r="D16" s="102" t="inlineStr">
        <is>
          <t>2 hafta (~12 soat)</t>
        </is>
      </c>
      <c r="E16" s="101" t="inlineStr">
        <is>
          <t>Daraja va ildiz; Burchak haqida boshlang'ich geometriya</t>
        </is>
      </c>
      <c r="F16" s="101" t="inlineStr">
        <is>
          <t>Burchak o'lchovlari, birlik aylana, sin/cos/tan/cot ta'riflari va asosiy qiymatlarini egallash.</t>
        </is>
      </c>
      <c r="G16" s="101" t="inlineStr">
        <is>
          <t>• Gradus va radian; o'zaro o'tkazish
• Birlik aylana va choraklarda ishoralar
• sin, cos, tan, cot ta'riflari
• Asosiy burchaklar jadvali (0°, 30°, 45°, 60°, 90° ...)
• Funksiyalarning xossalari: davriylik, juft/toqlik, qiymatlar sohasi
• Keltirish formulalari
• Sinusoida va kosinusoida grafiklari bilan tanishish</t>
        </is>
      </c>
      <c r="H16" s="101" t="inlineStr">
        <is>
          <t>• radian = gradus · π/180
• Asosiy qiymatlar:  sin30° = 1/2,  sin45° = √2/2,  sin60° = √3/2
• Keltirish:  sin(180° − α) = sin α,  cos(180° − α) = −cos α
• sin(−α) = −sin α (toq),  cos(−α) = cos α (juft)</t>
        </is>
      </c>
      <c r="I16" s="101" t="inlineStr">
        <is>
          <t>• Gradus va radianni o'zaro o'tkazish
• Jadval qiymatlarini yoddan bilish
• Keltirish formulalarini qo'llash
• Berilgan chorakda funksiya ishorasini aniqlash</t>
        </is>
      </c>
      <c r="J16" s="101" t="inlineStr">
        <is>
          <t>Hisoblang: sin150°</t>
        </is>
      </c>
      <c r="K16" s="101" t="inlineStr">
        <is>
          <t>sin150° = sin(180° − 30°) = sin30° = 1/2.</t>
        </is>
      </c>
      <c r="L16" s="101" t="inlineStr">
        <is>
          <t>• Asosiy burchaklar jadvalini va keltirish formulalarini erkin qo'llash</t>
        </is>
      </c>
      <c r="M16" s="101" t="inlineStr">
        <is>
          <t>• Chorakda ishorani noto'g'ri aniqlash
• Radian va gradusni chalkashtirish</t>
        </is>
      </c>
      <c r="N16" s="101" t="inlineStr">
        <is>
          <t>Trigonometrik funksiyalar.pdf</t>
        </is>
      </c>
    </row>
    <row r="17" ht="148.5" customHeight="1" s="56">
      <c r="A17" s="99" t="n">
        <v>14</v>
      </c>
      <c r="B17" s="100" t="inlineStr">
        <is>
          <t>6-bosqich: Trigonometriya</t>
        </is>
      </c>
      <c r="C17" s="101" t="inlineStr">
        <is>
          <t>Trigonometrik ayniyatlar va soddalashtirishlar</t>
        </is>
      </c>
      <c r="D17" s="102" t="inlineStr">
        <is>
          <t>2 hafta (~12 soat)</t>
        </is>
      </c>
      <c r="E17" s="101" t="inlineStr">
        <is>
          <t>Trigonometrik funksiyalar</t>
        </is>
      </c>
      <c r="F17" s="101" t="inlineStr">
        <is>
          <t>Asosiy ayniyatlar, qo'shish, ikkilangan va yarim burchak formulalari bilan ifodalarni soddalashtirish va ayniyatlarni isbotlashni egallash.</t>
        </is>
      </c>
      <c r="G17" s="101" t="inlineStr">
        <is>
          <t>• Asosiy ayniyat: sin²α + cos²α = 1; tan = sin/cos
• Qo'shish formulalari: sin(α±β), cos(α±β), tan(α±β)
• Ikkilangan burchak: sin2α, cos2α, tan2α
• Yarim burchak formulalari
• Yig'indini ko'paytmaga va aksincha aylantirish
• Ifodalarni soddalashtirish va ayniyatlarni isbotlash</t>
        </is>
      </c>
      <c r="H17" s="101" t="inlineStr">
        <is>
          <t>• sin²α + cos²α = 1;   1 + tan²α = 1/cos²α;   1 + cot²α = 1/sin²α
• sin(α ± β) = sinα·cosβ ± cosα·sinβ
• cos(α ± β) = cosα·cosβ ∓ sinα·sinβ
• sin2α = 2·sinα·cosα;   cos2α = cos²α − sin²α = 1 − 2sin²α = 2cos²α − 1
• tan2α = 2tanα / (1 − tan²α)</t>
        </is>
      </c>
      <c r="I17" s="101" t="inlineStr">
        <is>
          <t>• Formulalarni qo'llab murakkab ifodani soddalashtirish
• Ayniyatni isbotlash
• Yangi burchak qiymatlarini hisoblash (masalan, sin75°)</t>
        </is>
      </c>
      <c r="J17" s="101" t="inlineStr">
        <is>
          <t>Hisoblang: sin75°</t>
        </is>
      </c>
      <c r="K17" s="101" t="inlineStr">
        <is>
          <t>sin75° = sin(45° + 30°) = sin45°·cos30° + cos45°·sin30° = (√2/2)(√3/2) + (√2/2)(1/2) = (√6 + √2)/4.</t>
        </is>
      </c>
      <c r="L17" s="101" t="inlineStr">
        <is>
          <t>• Murakkab trigonometrik ifodani soddalashtira olish
• Qo'shish va ikkilangan burchak formulalarini erkin qo'llash</t>
        </is>
      </c>
      <c r="M17" s="101" t="inlineStr">
        <is>
          <t>• cos(α + β) formulasida ishorani chalkashtirish (∓)
• Formulalarni noto'g'ri yodda saqlash</t>
        </is>
      </c>
      <c r="N17" s="101" t="inlineStr">
        <is>
          <t>Trigonometrik ayniyatlar va soddalashtirishlar.pdf</t>
        </is>
      </c>
    </row>
    <row r="18" ht="162" customHeight="1" s="56">
      <c r="A18" s="99" t="n">
        <v>15</v>
      </c>
      <c r="B18" s="100" t="inlineStr">
        <is>
          <t>6-bosqich: Trigonometriya</t>
        </is>
      </c>
      <c r="C18" s="101" t="inlineStr">
        <is>
          <t>Trigonometrik tenglama</t>
        </is>
      </c>
      <c r="D18" s="102" t="inlineStr">
        <is>
          <t>2 hafta (~12 soat)</t>
        </is>
      </c>
      <c r="E18" s="101" t="inlineStr">
        <is>
          <t>Trigonometrik ayniyatlar va soddalashtirishlar</t>
        </is>
      </c>
      <c r="F18" s="101" t="inlineStr">
        <is>
          <t>Eng sodda trigonometrik tenglamalar, ularning umumiy yechim formulalari va asosiy yechish usullarini egallash.</t>
        </is>
      </c>
      <c r="G18" s="101" t="inlineStr">
        <is>
          <t>• Eng sodda tenglamalar: sinx = a, cosx = a, tanx = a, cotx = a
• Xususiy hollar (a = 0, a = ±1)
• Almashtirish bilan kvadrat tenglamaga keltirish
• Bir jinsli trigonometrik tenglamalar
• Yig'indi-ko'paytma formulalari yordamida yechish
• Yordamchi burchak usuli (a·sinx + b·cosx)
• Berilgan oraliqdan ildizlarni tanlash</t>
        </is>
      </c>
      <c r="H18" s="101" t="inlineStr">
        <is>
          <t>• sinx = a ⇒ x = (−1)ⁿ·arcsin a + πn,   |a| ≤ 1
• cosx = a ⇒ x = ± arccos a + 2πn,   |a| ≤ 1
• tanx = a ⇒ x = arctan a + πn
• Almashtirish:  t = sinx (yoki cosx)</t>
        </is>
      </c>
      <c r="I18" s="101" t="inlineStr">
        <is>
          <t>• Umumiy yechimni to'g'ri yozish
• Almashtirish kiritish va bir jinsli tenglamani yechish
• Berilgan oraliqqa tegishli ildizlarni tanlash</t>
        </is>
      </c>
      <c r="J18" s="101" t="inlineStr">
        <is>
          <t>Yeching: 2sin²x − sinx − 1 = 0</t>
        </is>
      </c>
      <c r="K18" s="101" t="inlineStr">
        <is>
          <t>t = sinx: 2t² − t − 1 = 0 ⇒ t = 1 yoki t = −1/2. sinx = 1 ⇒ x = π/2 + 2πn;  sinx = −1/2 ⇒ x = (−1)^(n+1)·π/6 + πn.</t>
        </is>
      </c>
      <c r="L18" s="101" t="inlineStr">
        <is>
          <t>• Umumiy yechim formulalarini erkin qo'llash
• Berilgan oraliqdan kerakli ildizlarni ajratish</t>
        </is>
      </c>
      <c r="M18" s="101" t="inlineStr">
        <is>
          <t>• |a| &gt; 1 bo'lganda yechim qidirish (sin, cos uchun yechim yo'q)
• +πn va +2πn davrlarini chalkashtirish</t>
        </is>
      </c>
      <c r="N18" s="101" t="inlineStr">
        <is>
          <t>trigonometrik tenglama.pdf</t>
        </is>
      </c>
    </row>
    <row r="19" ht="94.5" customHeight="1" s="56">
      <c r="A19" s="99" t="n">
        <v>16</v>
      </c>
      <c r="B19" s="100" t="inlineStr">
        <is>
          <t>6-bosqich: Trigonometriya</t>
        </is>
      </c>
      <c r="C19" s="101" t="inlineStr">
        <is>
          <t>Trigonometrik tengsizlik</t>
        </is>
      </c>
      <c r="D19" s="102" t="inlineStr">
        <is>
          <t>1.5 hafta (~9 soat)</t>
        </is>
      </c>
      <c r="E19" s="101" t="inlineStr">
        <is>
          <t>Trigonometrik tenglama; Tengsizliklar</t>
        </is>
      </c>
      <c r="F19" s="101" t="inlineStr">
        <is>
          <t>Birlik aylana yordamida eng sodda trigonometrik tengsizliklarni yechishni egallash. Bu — algebra kursining yakuniy mavzusi.</t>
        </is>
      </c>
      <c r="G19" s="101" t="inlineStr">
        <is>
          <t>• sinx &gt; a, sinx &lt; a, cosx &gt; a, cosx &lt; a
• tanx &gt; a, cotx bilan tengsizliklar
• Birlik aylanada yechim yoyini topish
• Davriylikni hisobga olish
• Almashtirish bilan murakkabroq tengsizliklar</t>
        </is>
      </c>
      <c r="H19" s="101" t="inlineStr">
        <is>
          <t>• Birlik aylanada kerakli yoyni belgilab, yechim oralig'ini yozish
• Yechimni davriylik (+2πn yoki +πn) bilan to'ldirish</t>
        </is>
      </c>
      <c r="I19" s="101" t="inlineStr">
        <is>
          <t>• Birlik aylanada yechim yoyini belgilash
• Yechim oralig'ini davriylik bilan to'g'ri yozish</t>
        </is>
      </c>
      <c r="J19" s="101" t="inlineStr">
        <is>
          <t>Yeching: sinx &gt; 1/2</t>
        </is>
      </c>
      <c r="K19" s="101" t="inlineStr">
        <is>
          <t>Birlik aylanada sinx = 1/2 nuqtalari x = π/6 va x = 5π/6. sinx &gt; 1/2 yoyi ular orasida. Javob: π/6 + 2πn &lt; x &lt; 5π/6 + 2πn,  n ∈ Z.</t>
        </is>
      </c>
      <c r="L19" s="101" t="inlineStr">
        <is>
          <t>• Birlik aylana orqali yechim oralig'ini to'g'ri yozish
• Davriylikni hisobga olish</t>
        </is>
      </c>
      <c r="M19" s="101" t="inlineStr">
        <is>
          <t>• Yechimda davriylikni (+2πn) unutish
• Oraliq chegaralarini teskari yozish</t>
        </is>
      </c>
      <c r="N19" s="101" t="inlineStr">
        <is>
          <t>Trigonometrik tengsizlik.pdf</t>
        </is>
      </c>
    </row>
  </sheetData>
  <autoFilter ref="A3:N19"/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5" min="1" max="1"/>
    <col width="20" customWidth="1" style="55" min="2" max="2"/>
    <col width="24" customWidth="1" style="55" min="3" max="3"/>
    <col width="14" customWidth="1" style="55" min="4" max="4"/>
    <col width="22" customWidth="1" style="55" min="5" max="5"/>
    <col width="38" customWidth="1" style="55" min="6" max="6"/>
    <col width="40" customWidth="1" style="55" min="7" max="7"/>
    <col width="38" customWidth="1" style="55" min="8" max="8"/>
    <col width="32" customWidth="1" style="55" min="9" max="9"/>
    <col width="26" customWidth="1" style="55" min="10" max="10"/>
    <col width="30" customWidth="1" style="55" min="11" max="11"/>
    <col width="26" customWidth="1" style="55" min="12" max="12"/>
    <col width="28" customWidth="1" style="55" min="13" max="13"/>
    <col width="20" customWidth="1" style="55" min="14" max="14"/>
  </cols>
  <sheetData>
    <row r="1" ht="25.5" customHeight="1" s="56">
      <c r="A1" s="73" t="inlineStr">
        <is>
          <t>GEOMETRIYA — to'liq o'quv yo'li (16 mavzu • 5 bosqich • ~26 hafta)</t>
        </is>
      </c>
    </row>
    <row r="2" ht="15" customHeight="1" s="56">
      <c r="A2" s="59" t="inlineStr">
        <is>
          <t>Mavzular tartib bilan o'rganiladi. Har mavzudan 70%+ to'plab keyingisiga o'ting.</t>
        </is>
      </c>
    </row>
    <row r="3" ht="30" customHeight="1" s="56">
      <c r="A3" s="74" t="inlineStr">
        <is>
          <t>№</t>
        </is>
      </c>
      <c r="B3" s="74" t="inlineStr">
        <is>
          <t>Bosqich</t>
        </is>
      </c>
      <c r="C3" s="74" t="inlineStr">
        <is>
          <t>Mavzu</t>
        </is>
      </c>
      <c r="D3" s="74" t="inlineStr">
        <is>
          <t>Tavsiya vaqt</t>
        </is>
      </c>
      <c r="E3" s="74" t="inlineStr">
        <is>
          <t>Old shart</t>
        </is>
      </c>
      <c r="F3" s="74" t="inlineStr">
        <is>
          <t>Maqsad</t>
        </is>
      </c>
      <c r="G3" s="74" t="inlineStr">
        <is>
          <t>Kichik mavzular</t>
        </is>
      </c>
      <c r="H3" s="74" t="inlineStr">
        <is>
          <t>Asosiy formulalar</t>
        </is>
      </c>
      <c r="I3" s="74" t="inlineStr">
        <is>
          <t>Ko'nikmalar</t>
        </is>
      </c>
      <c r="J3" s="74" t="inlineStr">
        <is>
          <t>Namuna — savol</t>
        </is>
      </c>
      <c r="K3" s="74" t="inlineStr">
        <is>
          <t>Namuna — yechim</t>
        </is>
      </c>
      <c r="L3" s="74" t="inlineStr">
        <is>
          <t>O'tish mezoni</t>
        </is>
      </c>
      <c r="M3" s="74" t="inlineStr">
        <is>
          <t>Tez-tez xatolar</t>
        </is>
      </c>
      <c r="N3" s="74" t="inlineStr">
        <is>
          <t>Manba fayl</t>
        </is>
      </c>
    </row>
    <row r="4" ht="121.5" customHeight="1" s="56">
      <c r="A4" s="75" t="n">
        <v>1</v>
      </c>
      <c r="B4" s="76" t="inlineStr">
        <is>
          <t>0-bosqich: Planimetriya asoslari</t>
        </is>
      </c>
      <c r="C4" s="77" t="inlineStr">
        <is>
          <t>Burchaklar</t>
        </is>
      </c>
      <c r="D4" s="78" t="inlineStr">
        <is>
          <t>1 hafta (~6 soat)</t>
        </is>
      </c>
      <c r="E4" s="77" t="inlineStr">
        <is>
          <t>Boshlang'ich geometriya: nuqta, to'g'ri chiziq, kesma</t>
        </is>
      </c>
      <c r="F4" s="77" t="inlineStr">
        <is>
          <t>Burchak turlari, ularning o'lchovi va parallel to'g'ri chiziqlar kesilganda hosil bo'ladigan burchaklar munosabatlarini egallash — bu butun planimetriyaning tili.</t>
        </is>
      </c>
      <c r="G4" s="77" t="inlineStr">
        <is>
          <t>• Burchak va uning o'lchovi (gradus)
• Burchak turlari: o'tkir, to'g'ri, o'tmas, yoyiq
• Qo'shni va vertikal burchaklar
• Parallel chiziqlar va kesuvchi: mos, ichki almashinuvchi, bir tomonli burchaklar
• Burchak bissektrisasi</t>
        </is>
      </c>
      <c r="H4" s="77" t="inlineStr">
        <is>
          <t>• Qo'shni burchaklar yig'indisi:  α + β = 180°
• Vertikal burchaklar teng
• Parallel chiziqlarda mos burchaklar teng; ichki almashinuvchi burchaklar teng
• Parallel chiziqlarda bir tomonli ichki burchaklar yig'indisi = 180°</t>
        </is>
      </c>
      <c r="I4" s="77" t="inlineStr">
        <is>
          <t>• Burchak turlarini aniqlash
• Qo'shni va vertikal burchaklardan noma'lumini topish
• Parallel chiziqlar va kesuvchi masalalarini yechish</t>
        </is>
      </c>
      <c r="J4" s="77" t="inlineStr">
        <is>
          <t>Ikki parallel chiziqni kesuvchi hosil qilgan ichki almashinuvchi burchaklardan biri 65°. Ikkinchisi nechа gradus?</t>
        </is>
      </c>
      <c r="K4" s="77" t="inlineStr">
        <is>
          <t>Ichki almashinuvchi burchaklar teng ⇒ ikkinchisi ham 65°.</t>
        </is>
      </c>
      <c r="L4" s="77" t="inlineStr">
        <is>
          <t>• Parallel chiziqlardagi burchak munosabatlarini erkin qo'llash</t>
        </is>
      </c>
      <c r="M4" s="77" t="inlineStr">
        <is>
          <t>• Mos va ichki almashinuvchi burchaklarni chalkashtirish
• Qo'shni burchaklar yig'indisini 90° deb o'ylash (aslida 180°)</t>
        </is>
      </c>
      <c r="N4" s="77" t="inlineStr">
        <is>
          <t>burchaklar.pdf</t>
        </is>
      </c>
    </row>
    <row r="5" ht="162" customHeight="1" s="56">
      <c r="A5" s="75" t="n">
        <v>2</v>
      </c>
      <c r="B5" s="76" t="inlineStr">
        <is>
          <t>0-bosqich: Planimetriya asoslari</t>
        </is>
      </c>
      <c r="C5" s="77" t="inlineStr">
        <is>
          <t>Uchburchak</t>
        </is>
      </c>
      <c r="D5" s="78" t="inlineStr">
        <is>
          <t>2.5 hafta (~15 soat)</t>
        </is>
      </c>
      <c r="E5" s="77" t="inlineStr">
        <is>
          <t>Burchaklar</t>
        </is>
      </c>
      <c r="F5" s="77" t="inlineStr">
        <is>
          <t>Uchburchak turlari, xossalari, tengligi va o'xshashligi, yuzasi hamda asosiy teoremalar (Pifagor, sinuslar va kosinuslar)ni egallash — planimetriyaning markaziy mavzusi.</t>
        </is>
      </c>
      <c r="G5" s="77" t="inlineStr">
        <is>
          <t>• Uchburchak turlari (tomonlari va burchaklari bo'yicha)
• Burchaklar yig'indisi va tashqi burchak
• Uchburchaklarning tengligi alomatlari
• Uchburchaklarning o'xshashligi
• Ajoyib chiziqlar: medianalar, bissektrisalar, balandliklar, o'rta perpendikulyarlar
• Pifagor teoremasi
• Sinuslar va kosinuslar teoremasi
• Uchburchak yuzasi (turli formulalar)</t>
        </is>
      </c>
      <c r="H5" s="77" t="inlineStr">
        <is>
          <t>• Burchaklar yig'indisi:  A + B + C = 180°
• Pifagor teoremasi:  c² = a² + b²  (to'g'ri burchakli uchburchak)
• Yuza:  S = ½·a·hₐ = ½·a·b·sinC
• Geron formulasi:  S = √(p(p−a)(p−b)(p−c)),  p = (a+b+c)/2
• Sinuslar teoremasi:  a/sinA = b/sinB = c/sinC = 2R
• Kosinuslar teoremasi:  c² = a² + b² − 2ab·cosC</t>
        </is>
      </c>
      <c r="I5" s="77" t="inlineStr">
        <is>
          <t>• Tenglik va o'xshashlik alomatlarini qo'llash
• Pifagor, sinuslar va kosinuslar teoremalari bilan tomon/burchak topish
• Yuzani turli formulalar bilan hisoblash</t>
        </is>
      </c>
      <c r="J5" s="77" t="inlineStr">
        <is>
          <t>To'g'ri burchakli uchburchakda katetlar 3 va 4. Gipotenuza va yuzani toping.</t>
        </is>
      </c>
      <c r="K5" s="77" t="inlineStr">
        <is>
          <t>Gipotenuza c = √(3² + 4²) = √25 = 5.  Yuza S = ½·3·4 = 6.</t>
        </is>
      </c>
      <c r="L5" s="77" t="inlineStr">
        <is>
          <t>• Pifagor, sinuslar/kosinuslar teoremasi va yuza formulalarini erkin qo'llash
• O'xshashlik masalalarini yechish</t>
        </is>
      </c>
      <c r="M5" s="77" t="inlineStr">
        <is>
          <t>• Pifagor teoremasini to'g'ri burchakli bo'lmagan uchburchakka qo'llash
• Yuzada balandlikni tomon bilan chalkashtirish</t>
        </is>
      </c>
      <c r="N5" s="77" t="inlineStr">
        <is>
          <t>Uchburchak.pdf</t>
        </is>
      </c>
    </row>
    <row r="6" ht="135" customHeight="1" s="56">
      <c r="A6" s="79" t="n">
        <v>3</v>
      </c>
      <c r="B6" s="80" t="inlineStr">
        <is>
          <t>1-bosqich: Ko'pburchak va aylana</t>
        </is>
      </c>
      <c r="C6" s="81" t="inlineStr">
        <is>
          <t>To'rtburchaklar</t>
        </is>
      </c>
      <c r="D6" s="82" t="inlineStr">
        <is>
          <t>2 hafta (~12 soat)</t>
        </is>
      </c>
      <c r="E6" s="81" t="inlineStr">
        <is>
          <t>Uchburchak</t>
        </is>
      </c>
      <c r="F6" s="81" t="inlineStr">
        <is>
          <t>Parallelogramm, to'g'ri to'rtburchak, romb, kvadrat va trapetsiyaning xossalari hamda yuzalarini egallash.</t>
        </is>
      </c>
      <c r="G6" s="81" t="inlineStr">
        <is>
          <t>• Ko'pburchak va uning burchaklari yig'indisi
• Parallelogramm: xossalari va alomatlari
• To'g'ri to'rtburchak, romb, kvadrat
• Trapetsiya va uning o'rta chizig'i
• To'rtburchaklar yuzasi</t>
        </is>
      </c>
      <c r="H6" s="81" t="inlineStr">
        <is>
          <t>• n-burchak ichki burchaklari yig'indisi:  (n − 2)·180°
• Parallelogramm yuzasi:  S = a·h = a·b·sinα
• Romb yuzasi:  S = ½·d₁·d₂
• Trapetsiya yuzasi:  S = ½·(a + b)·h;   o'rta chiziq m = (a + b)/2
• To'g'ri to'rtburchak:  S = a·b;   kvadrat:  S = a²</t>
        </is>
      </c>
      <c r="I6" s="81" t="inlineStr">
        <is>
          <t>• Har bir to'rtburchak turini xossalari bo'yicha aniqlash
• Yuzalarni hisoblash
• Trapetsiya o'rta chizig'i bilan masala yechish</t>
        </is>
      </c>
      <c r="J6" s="81" t="inlineStr">
        <is>
          <t>Asoslari 6 va 10, balandligi 4 bo'lgan trapetsiya yuzasini toping.</t>
        </is>
      </c>
      <c r="K6" s="81" t="inlineStr">
        <is>
          <t>S = ½·(6 + 10)·4 = ½·16·4 = 32.</t>
        </is>
      </c>
      <c r="L6" s="81" t="inlineStr">
        <is>
          <t>• Barcha to'rtburchaklar yuzasini erkin hisoblash; xossalardan masalada foydalanish</t>
        </is>
      </c>
      <c r="M6" s="81" t="inlineStr">
        <is>
          <t>• Romb va parallelogramm yuzasi formulalarini chalkashtirish
• Trapetsiya yuzasida ½ ni unutish</t>
        </is>
      </c>
      <c r="N6" s="81" t="inlineStr">
        <is>
          <t>To'rtburchaklar.pdf</t>
        </is>
      </c>
    </row>
    <row r="7" ht="108" customHeight="1" s="56">
      <c r="A7" s="79" t="n">
        <v>4</v>
      </c>
      <c r="B7" s="80" t="inlineStr">
        <is>
          <t>1-bosqich: Ko'pburchak va aylana</t>
        </is>
      </c>
      <c r="C7" s="81" t="inlineStr">
        <is>
          <t>Aylana va doira</t>
        </is>
      </c>
      <c r="D7" s="82" t="inlineStr">
        <is>
          <t>1.5 hafta (~9 soat)</t>
        </is>
      </c>
      <c r="E7" s="81" t="inlineStr">
        <is>
          <t>Burchaklar</t>
        </is>
      </c>
      <c r="F7" s="81" t="inlineStr">
        <is>
          <t>Aylana va doira elementlari, uzunligi, yuzasi hamda yoy va sektor formulalarini egallash.</t>
        </is>
      </c>
      <c r="G7" s="81" t="inlineStr">
        <is>
          <t>• Aylana, doira, radius, diametr, vatar
• Aylana uzunligi va doira yuzasi
• Yoy uzunligi, sektor va segment yuzasi
• Aylanaga urinma va uning xossasi</t>
        </is>
      </c>
      <c r="H7" s="81" t="inlineStr">
        <is>
          <t>• Aylana uzunligi:  C = 2πR = πd
• Doira yuzasi:  S = πR²
• Yoy uzunligi:  l = (πR·n)/180   (n — gradusda)
• Sektor yuzasi:  S = (πR²·n)/360
• Urinma tegish nuqtasidagi radiusga perpendikulyar</t>
        </is>
      </c>
      <c r="I7" s="81" t="inlineStr">
        <is>
          <t>• Aylana uzunligi va doira yuzasini hisoblash
• Yoy va sektor bilan masala yechish
• Urinma xossasini qo'llash</t>
        </is>
      </c>
      <c r="J7" s="81" t="inlineStr">
        <is>
          <t>Radiusi 5 bo'lgan doiraning yuzasi va aylana uzunligini toping.</t>
        </is>
      </c>
      <c r="K7" s="81" t="inlineStr">
        <is>
          <t>Yuza S = π·5² = 25π.  Aylana uzunligi C = 2π·5 = 10π.</t>
        </is>
      </c>
      <c r="L7" s="81" t="inlineStr">
        <is>
          <t>• Yoy, sektor, uzunlik va yuza formulalarini ajrata olish va qo'llash</t>
        </is>
      </c>
      <c r="M7" s="81" t="inlineStr">
        <is>
          <t>• Radius va diametrni chalkashtirish
• Yuzada R² o'rniga R ishlatish</t>
        </is>
      </c>
      <c r="N7" s="81" t="inlineStr">
        <is>
          <t>Aylana va doira.pdf</t>
        </is>
      </c>
    </row>
    <row r="8" ht="121.5" customHeight="1" s="56">
      <c r="A8" s="79" t="n">
        <v>5</v>
      </c>
      <c r="B8" s="80" t="inlineStr">
        <is>
          <t>1-bosqich: Ko'pburchak va aylana</t>
        </is>
      </c>
      <c r="C8" s="81" t="inlineStr">
        <is>
          <t>Aylanada burchaklar</t>
        </is>
      </c>
      <c r="D8" s="82" t="inlineStr">
        <is>
          <t>1.5 hafta (~9 soat)</t>
        </is>
      </c>
      <c r="E8" s="81" t="inlineStr">
        <is>
          <t>Aylana va doira; Uchburchak</t>
        </is>
      </c>
      <c r="F8" s="81" t="inlineStr">
        <is>
          <t>Markaziy va ichki chizilgan burchaklar, urinma-vatar burchagi va ularning yoy bilan munosabatini egallash.</t>
        </is>
      </c>
      <c r="G8" s="81" t="inlineStr">
        <is>
          <t>• Markaziy burchak va yoy
• Ichki chizilgan burchak
• Diametrga tiralgan burchak (90°)
• Urinma va vatar orasidagi burchak
• Vatarlar va kesuvchilar xossalari</t>
        </is>
      </c>
      <c r="H8" s="81" t="inlineStr">
        <is>
          <t>• Markaziy burchak = tiralgan yoyning gradus o'lchovi
• Ichki chizilgan burchak = tiralgan yoyning yarmi
• Bir yoyga tiralgan ichki burchaklar o'zaro teng
• Diametrga tiralgan ichki chizilgan burchak = 90°</t>
        </is>
      </c>
      <c r="I8" s="81" t="inlineStr">
        <is>
          <t>• Markaziy va ichki burchakni yoy orqali bog'lash
• Diametr xossasini qo'llash
• Aylanadagi burchak masalalarini yechish</t>
        </is>
      </c>
      <c r="J8" s="81" t="inlineStr">
        <is>
          <t>Ichki chizilgan burchak 40°. Xuddi shu yoyga tiralgan markaziy burchak nechа gradus?</t>
        </is>
      </c>
      <c r="K8" s="81" t="inlineStr">
        <is>
          <t>Markaziy burchak = 2 × ichki burchak = 2·40° = 80°.</t>
        </is>
      </c>
      <c r="L8" s="81" t="inlineStr">
        <is>
          <t>• «Ichki burchak = markaziy burchakning yarmi» munosabatini erkin qo'llash</t>
        </is>
      </c>
      <c r="M8" s="81" t="inlineStr">
        <is>
          <t>• Ichki va markaziy burchakni teng deb olish
• Diametrga tiralgan burchak 90° ekanini unutish</t>
        </is>
      </c>
      <c r="N8" s="81" t="inlineStr">
        <is>
          <t>Aylanada burchaklar.pdf</t>
        </is>
      </c>
    </row>
    <row r="9" ht="108" customHeight="1" s="56">
      <c r="A9" s="79" t="n">
        <v>6</v>
      </c>
      <c r="B9" s="80" t="inlineStr">
        <is>
          <t>1-bosqich: Ko'pburchak va aylana</t>
        </is>
      </c>
      <c r="C9" s="81" t="inlineStr">
        <is>
          <t>Ichki va tashqi chizilgan aylanalar</t>
        </is>
      </c>
      <c r="D9" s="82" t="inlineStr">
        <is>
          <t>1.5 hafta (~9 soat)</t>
        </is>
      </c>
      <c r="E9" s="81" t="inlineStr">
        <is>
          <t>Uchburchak; Aylana va doira; Aylanada burchaklar</t>
        </is>
      </c>
      <c r="F9" s="81" t="inlineStr">
        <is>
          <t>Uchburchak va ko'pburchakka ichki/tashqi chizilgan aylanalar, ularning radiuslari va yuza bilan bog'liqligini egallash.</t>
        </is>
      </c>
      <c r="G9" s="81" t="inlineStr">
        <is>
          <t>• Ichki chizilgan aylana (bissektrisalar kesishish nuqtasi)
• Tashqi chizilgan aylana (o'rta perpendikulyarlar kesishish nuqtasi)
• Radiuslar formulalari
• Ichki va tashqi chizilgan to'rtburchaklar xossalari</t>
        </is>
      </c>
      <c r="H9" s="81" t="inlineStr">
        <is>
          <t>• Ichki aylana radiusi:  r = S/p   (p — yarim perimetr)
• Tashqi aylana radiusi:  R = abc/(4S)
• To'g'ri burchakli uchburchak:  R = c/2  (gipotenuzaning yarmi)
• Ichki chizilgan to'rtburchak: qarama-qarshi burchaklar yig'indisi = 180°</t>
        </is>
      </c>
      <c r="I9" s="81" t="inlineStr">
        <is>
          <t>• r va R ni yuza va tomonlar orqali topish
• Ichki/tashqi chizilgan figuralar xossalarini qo'llash</t>
        </is>
      </c>
      <c r="J9" s="81" t="inlineStr">
        <is>
          <t>Tomonlari 3, 4, 5 bo'lgan uchburchakka ichki chizilgan aylana radiusini toping.</t>
        </is>
      </c>
      <c r="K9" s="81" t="inlineStr">
        <is>
          <t>Bu to'g'ri burchakli uchburchak (3-4-5). S = ½·3·4 = 6, p = (3+4+5)/2 = 6. r = S/p = 6/6 = 1.</t>
        </is>
      </c>
      <c r="L9" s="81" t="inlineStr">
        <is>
          <t>• r = S/p va R = abc/(4S) formulalarini qo'llash</t>
        </is>
      </c>
      <c r="M9" s="81" t="inlineStr">
        <is>
          <t>• Ichki va tashqi radiusni chalkashtirish
• To'g'ri burchakli uchburchakda R = c/2 ekanini unutish</t>
        </is>
      </c>
      <c r="N9" s="81" t="inlineStr">
        <is>
          <t>Ichki va Tashqi chizilgan aylanalar.pdf</t>
        </is>
      </c>
    </row>
    <row r="10" ht="108" customHeight="1" s="56">
      <c r="A10" s="83" t="n">
        <v>7</v>
      </c>
      <c r="B10" s="84" t="inlineStr">
        <is>
          <t>2-bosqich: Koordinatalar va vektorlar</t>
        </is>
      </c>
      <c r="C10" s="85" t="inlineStr">
        <is>
          <t>Dekart koordinatalar sistemasi</t>
        </is>
      </c>
      <c r="D10" s="86" t="inlineStr">
        <is>
          <t>1.5 hafta (~9 soat)</t>
        </is>
      </c>
      <c r="E10" s="85" t="inlineStr">
        <is>
          <t>Uchburchak (Pifagor teoremasi)</t>
        </is>
      </c>
      <c r="F10" s="85" t="inlineStr">
        <is>
          <t>Koordinata tekisligida nuqtalar, kesma uzunligi, o'rta nuqta va to'g'ri chiziq tenglamasini egallash.</t>
        </is>
      </c>
      <c r="G10" s="85" t="inlineStr">
        <is>
          <t>• Koordinata o'qlari va nuqta koordinatalari
• Ikki nuqta orasidagi masofa
• Kesma o'rtasi koordinatalari
• To'g'ri chiziq tenglamasi va burchak koeffitsiyenti
• Parallel va perpendikulyar chiziqlar</t>
        </is>
      </c>
      <c r="H10" s="85" t="inlineStr">
        <is>
          <t>• Masofa:  d = √((x₂ − x₁)² + (y₂ − y₁)²)
• O'rta nuqta:  M((x₁ + x₂)/2,  (y₁ + y₂)/2)
• To'g'ri chiziq:  y = kx + b
• Parallel:  k₁ = k₂;   perpendikulyar:  k₁·k₂ = −1</t>
        </is>
      </c>
      <c r="I10" s="85" t="inlineStr">
        <is>
          <t>• Masofa va o'rta nuqtani hisoblash
• To'g'ri chiziq tenglamasini tuzish
• Chiziqlarning parallel/perpendikulyarligini aniqlash</t>
        </is>
      </c>
      <c r="J10" s="85" t="inlineStr">
        <is>
          <t>A(1; 2) va B(4; 6) nuqtalar orasidagi masofani toping.</t>
        </is>
      </c>
      <c r="K10" s="85" t="inlineStr">
        <is>
          <t>d = √((4−1)² + (6−2)²) = √(9 + 16) = √25 = 5.</t>
        </is>
      </c>
      <c r="L10" s="85" t="inlineStr">
        <is>
          <t>• Masofa, o'rta nuqta va chiziq tenglamasini erkin qo'llash</t>
        </is>
      </c>
      <c r="M10" s="85" t="inlineStr">
        <is>
          <t>• Masofa formulasida kvadratlarni unutish
• Perpendikulyarlik sharti k₁·k₂ = −1 ni chalkashtirish</t>
        </is>
      </c>
      <c r="N10" s="85" t="inlineStr">
        <is>
          <t>Dekart koordinatalar sistemasi.pdf</t>
        </is>
      </c>
    </row>
    <row r="11" ht="94.5" customHeight="1" s="56">
      <c r="A11" s="83" t="n">
        <v>8</v>
      </c>
      <c r="B11" s="84" t="inlineStr">
        <is>
          <t>2-bosqich: Koordinatalar va vektorlar</t>
        </is>
      </c>
      <c r="C11" s="85" t="inlineStr">
        <is>
          <t>Vektorlar</t>
        </is>
      </c>
      <c r="D11" s="86" t="inlineStr">
        <is>
          <t>1.5 hafta (~9 soat)</t>
        </is>
      </c>
      <c r="E11" s="85" t="inlineStr">
        <is>
          <t>Dekart koordinatalar sistemasi</t>
        </is>
      </c>
      <c r="F11" s="85" t="inlineStr">
        <is>
          <t>Vektor tushunchasi, ular ustida amallar, skalyar ko'paytma va vektorlar yordamida masala yechishni egallash.</t>
        </is>
      </c>
      <c r="G11" s="85" t="inlineStr">
        <is>
          <t>• Vektor, uning moduli va koordinatalari
• Vektorlarni qo'shish, ayirish va songa ko'paytirish
• Kollinear vektorlar
• Skalyar ko'paytma
• Vektorlar orasidagi burchak</t>
        </is>
      </c>
      <c r="H11" s="85" t="inlineStr">
        <is>
          <t>• Modul:  |a| = √(x² + y²)
• Skalyar ko'paytma:  a·b = x₁x₂ + y₁y₂ = |a|·|b|·cosφ
• Perpendikulyar bo'lishi:  a·b = 0
• Kollinear bo'lishi:  x₁/x₂ = y₁/y₂</t>
        </is>
      </c>
      <c r="I11" s="85" t="inlineStr">
        <is>
          <t>• Vektor amallarini bajarish
• Skalyar ko'paytmani hisoblash
• Vektorlar orasidagi burchak va perpendikulyarlikni aniqlash</t>
        </is>
      </c>
      <c r="J11" s="85" t="inlineStr">
        <is>
          <t>a(2; 3) va b(4; −1) vektorlarning skalyar ko'paytmasini toping.</t>
        </is>
      </c>
      <c r="K11" s="85" t="inlineStr">
        <is>
          <t>a·b = 2·4 + 3·(−1) = 8 − 3 = 5.</t>
        </is>
      </c>
      <c r="L11" s="85" t="inlineStr">
        <is>
          <t>• Skalyar ko'paytma va modulni erkin hisoblash; perpendikulyarlik shartini qo'llash</t>
        </is>
      </c>
      <c r="M11" s="85" t="inlineStr">
        <is>
          <t>• Skalyar ko'paytmani vektor deb o'ylash (u — son)
• Modulda kvadrat ildizni unutish</t>
        </is>
      </c>
      <c r="N11" s="85" t="inlineStr">
        <is>
          <t>Vektorlar.pdf</t>
        </is>
      </c>
    </row>
    <row r="12" ht="94.5" customHeight="1" s="56">
      <c r="A12" s="83" t="n">
        <v>9</v>
      </c>
      <c r="B12" s="84" t="inlineStr">
        <is>
          <t>2-bosqich: Koordinatalar va vektorlar</t>
        </is>
      </c>
      <c r="C12" s="85" t="inlineStr">
        <is>
          <t>Aylanalar tenglamasi</t>
        </is>
      </c>
      <c r="D12" s="86" t="inlineStr">
        <is>
          <t>1 hafta (~6 soat)</t>
        </is>
      </c>
      <c r="E12" s="85" t="inlineStr">
        <is>
          <t>Dekart koordinatalar sistemasi; Aylana va doira</t>
        </is>
      </c>
      <c r="F12" s="85" t="inlineStr">
        <is>
          <t>Aylananing koordinata tekisligidagi tenglamasini tuzish va o'qish, chiziq bilan kesishishni tahlil qilishni egallash.</t>
        </is>
      </c>
      <c r="G12" s="85" t="inlineStr">
        <is>
          <t>• Aylana tenglamasi (markaz va radius bo'yicha)
• Tenglamadan markaz va radiusni topish
• Aylana va to'g'ri chiziqning o'zaro joylashuvi</t>
        </is>
      </c>
      <c r="H12" s="85" t="inlineStr">
        <is>
          <t>• Aylana tenglamasi:  (x − a)² + (y − b)² = R²,   markaz (a; b)
• Markazi koordinata boshida:  x² + y² = R²</t>
        </is>
      </c>
      <c r="I12" s="85" t="inlineStr">
        <is>
          <t>• Berilgan markaz va radius bo'yicha tenglama tuzish
• Tenglamadan markaz va radiusni o'qish</t>
        </is>
      </c>
      <c r="J12" s="85" t="inlineStr">
        <is>
          <t>(x − 2)² + (y + 3)² = 16 aylananing markazi va radiusini toping.</t>
        </is>
      </c>
      <c r="K12" s="85" t="inlineStr">
        <is>
          <t>Markaz (2; −3), radius R = √16 = 4.</t>
        </is>
      </c>
      <c r="L12" s="85" t="inlineStr">
        <is>
          <t>• Aylana tenglamasini ikki tomonga (tuzish va o'qish) erkin qo'llash</t>
        </is>
      </c>
      <c r="M12" s="85" t="inlineStr">
        <is>
          <t>• Markaz ishoralarini (a, b) noto'g'ri olish
• R² va R ni chalkashtirish</t>
        </is>
      </c>
      <c r="N12" s="85" t="inlineStr">
        <is>
          <t>Aylanalar tenglamasi.pdf</t>
        </is>
      </c>
    </row>
    <row r="13" ht="108" customHeight="1" s="56">
      <c r="A13" s="87" t="n">
        <v>10</v>
      </c>
      <c r="B13" s="88" t="inlineStr">
        <is>
          <t>3-bosqich: Stereometriya (fazoviy geometriya)</t>
        </is>
      </c>
      <c r="C13" s="89" t="inlineStr">
        <is>
          <t>Ko'pyoqlar (prizma va piramida)</t>
        </is>
      </c>
      <c r="D13" s="90" t="inlineStr">
        <is>
          <t>2 hafta (~12 soat)</t>
        </is>
      </c>
      <c r="E13" s="89" t="inlineStr">
        <is>
          <t>To'rtburchaklar; Uchburchak</t>
        </is>
      </c>
      <c r="F13" s="89" t="inlineStr">
        <is>
          <t>Prizma va piramidaning elementlari, sirti va hajmini egallash — fazoviy geometriyaga kirish.</t>
        </is>
      </c>
      <c r="G13" s="89" t="inlineStr">
        <is>
          <t>• Fazoda to'g'ri chiziq va tekislik (kirish)
• Prizma (to'g'ri va qiya), uning elementlari
• Parallelepiped va kub
• Piramida, to'g'ri piramida, apofema
• Sirt va hajm</t>
        </is>
      </c>
      <c r="H13" s="89" t="inlineStr">
        <is>
          <t>• Prizma hajmi:  V = S(asos)·h
• Parallelepiped:  V = a·b·c;   kub:  V = a³
• Piramida hajmi:  V = ⅓·S(asos)·h
• Prizma to'la sirti:  S = S(yon) + 2·S(asos)</t>
        </is>
      </c>
      <c r="I13" s="89" t="inlineStr">
        <is>
          <t>• Prizma va piramida hajmi hamda sirtini hisoblash
• Apofema va balandlik bilan ishlash</t>
        </is>
      </c>
      <c r="J13" s="89" t="inlineStr">
        <is>
          <t>Asosi tomoni 6 bo'lgan kvadrat, balandligi 10 bo'lgan to'g'ri piramidaning hajmini toping.</t>
        </is>
      </c>
      <c r="K13" s="89" t="inlineStr">
        <is>
          <t>S(asos) = 6² = 36. V = ⅓·36·10 = 120.</t>
        </is>
      </c>
      <c r="L13" s="89" t="inlineStr">
        <is>
          <t>• Prizma va piramida hajmi/sirtini erkin hisoblash</t>
        </is>
      </c>
      <c r="M13" s="89" t="inlineStr">
        <is>
          <t>• Piramida hajmida ⅓ koeffitsiyentini unutish
• Asos yuzasini noto'g'ri hisoblash</t>
        </is>
      </c>
      <c r="N13" s="89" t="inlineStr">
        <is>
          <t>ko'pyoqlar.pdf</t>
        </is>
      </c>
    </row>
    <row r="14" ht="94.5" customHeight="1" s="56">
      <c r="A14" s="87" t="n">
        <v>11</v>
      </c>
      <c r="B14" s="88" t="inlineStr">
        <is>
          <t>3-bosqich: Stereometriya (fazoviy geometriya)</t>
        </is>
      </c>
      <c r="C14" s="89" t="inlineStr">
        <is>
          <t>Silindr</t>
        </is>
      </c>
      <c r="D14" s="90" t="inlineStr">
        <is>
          <t>1 hafta (~6 soat)</t>
        </is>
      </c>
      <c r="E14" s="89" t="inlineStr">
        <is>
          <t>Aylana va doira; Ko'pyoqlar</t>
        </is>
      </c>
      <c r="F14" s="89" t="inlineStr">
        <is>
          <t>Silindrning elementlari, yon va to'la sirti hamda hajmini egallash.</t>
        </is>
      </c>
      <c r="G14" s="89" t="inlineStr">
        <is>
          <t>• Silindr va uning elementlari (radius, balandlik, o'q kesimi)
• Yon sirt va to'la sirt
• Hajm</t>
        </is>
      </c>
      <c r="H14" s="89" t="inlineStr">
        <is>
          <t>• Yon sirt:  S(yon) = 2πRh
• To'la sirt:  S = 2πR(R + h)
• Hajm:  V = πR²h</t>
        </is>
      </c>
      <c r="I14" s="89" t="inlineStr">
        <is>
          <t>• Silindr sirti va hajmini hisoblash
• O'q kesimi bilan masala yechish</t>
        </is>
      </c>
      <c r="J14" s="89" t="inlineStr">
        <is>
          <t>Radiusi 3, balandligi 5 bo'lgan silindr hajmini toping.</t>
        </is>
      </c>
      <c r="K14" s="89" t="inlineStr">
        <is>
          <t>V = π·3²·5 = π·9·5 = 45π.</t>
        </is>
      </c>
      <c r="L14" s="89" t="inlineStr">
        <is>
          <t>• Silindr hajmi va sirtini erkin hisoblash</t>
        </is>
      </c>
      <c r="M14" s="89" t="inlineStr">
        <is>
          <t>• Yon sirt va to'la sirtni chalkashtirish
• Hajmda R² o'rniga R ishlatish</t>
        </is>
      </c>
      <c r="N14" s="89" t="inlineStr">
        <is>
          <t>silindir.pdf</t>
        </is>
      </c>
    </row>
    <row r="15" ht="94.5" customHeight="1" s="56">
      <c r="A15" s="87" t="n">
        <v>12</v>
      </c>
      <c r="B15" s="88" t="inlineStr">
        <is>
          <t>3-bosqich: Stereometriya (fazoviy geometriya)</t>
        </is>
      </c>
      <c r="C15" s="89" t="inlineStr">
        <is>
          <t>Aylanma jismlar (konus va shar)</t>
        </is>
      </c>
      <c r="D15" s="90" t="inlineStr">
        <is>
          <t>1.5 hafta (~9 soat)</t>
        </is>
      </c>
      <c r="E15" s="89" t="inlineStr">
        <is>
          <t>Silindr; Uchburchak (Pifagor)</t>
        </is>
      </c>
      <c r="F15" s="89" t="inlineStr">
        <is>
          <t>Konus va shar (sfera)ning sirti hamda hajmini egallash — stereometriyaning yakuni.</t>
        </is>
      </c>
      <c r="G15" s="89" t="inlineStr">
        <is>
          <t>• Konus va uning elementlari (yasovchi, balandlik, radius)
• Konus yon va to'la sirti, hajmi
• Kesik konus (kirish)
• Shar va sfera; sirt va hajm</t>
        </is>
      </c>
      <c r="H15" s="89" t="inlineStr">
        <is>
          <t>• Konus yon sirti:  S(yon) = πRl   (l — yasovchi)
• Konus hajmi:  V = ⅓·πR²h
• Yasovchi:  l = √(R² + h²)
• Shar hajmi:  V = (4/3)·πR³
• Sfera yuzasi:  S = 4πR²</t>
        </is>
      </c>
      <c r="I15" s="89" t="inlineStr">
        <is>
          <t>• Konus va shar sirti hamda hajmini hisoblash
• Yasovchini Pifagor teoremasi bilan topish</t>
        </is>
      </c>
      <c r="J15" s="89" t="inlineStr">
        <is>
          <t>Radiusi 3 bo'lgan sharning hajmi va sirtini toping.</t>
        </is>
      </c>
      <c r="K15" s="89" t="inlineStr">
        <is>
          <t>Hajm V = (4/3)·π·3³ = (4/3)·27·π = 36π.  Sirt S = 4π·3² = 36π.</t>
        </is>
      </c>
      <c r="L15" s="89" t="inlineStr">
        <is>
          <t>• Konus va shar formulalarini erkin qo'llash</t>
        </is>
      </c>
      <c r="M15" s="89" t="inlineStr">
        <is>
          <t>• Konus hajmida ⅓ ni unutish
• Shar hajmida R³ o'rniga R² ishlatish</t>
        </is>
      </c>
      <c r="N15" s="89" t="inlineStr">
        <is>
          <t>Aylanma jismlar.pdf</t>
        </is>
      </c>
    </row>
    <row r="16" ht="135" customHeight="1" s="56">
      <c r="A16" s="95" t="n">
        <v>13</v>
      </c>
      <c r="B16" s="96" t="inlineStr">
        <is>
          <t>4-bosqich: Funksiya va matematik tahlil</t>
        </is>
      </c>
      <c r="C16" s="97" t="inlineStr">
        <is>
          <t>Funksiya</t>
        </is>
      </c>
      <c r="D16" s="98" t="inlineStr">
        <is>
          <t>2 hafta (~12 soat)</t>
        </is>
      </c>
      <c r="E16" s="97" t="inlineStr">
        <is>
          <t>Dekart koordinatalar sistemasi</t>
        </is>
      </c>
      <c r="F16" s="97" t="inlineStr">
        <is>
          <t>Funksiya tushunchasi, ta'rif va qiymatlar sohasi, xossalari va grafiklarni egallash — matematik tahlilga kirish.</t>
        </is>
      </c>
      <c r="G16" s="97" t="inlineStr">
        <is>
          <t>• Funksiya ta'rifi, ta'rif sohasi (D) va qiymatlar sohasi (E)
• Funksiyani berish usullari
• Juft va toq funksiyalar, davriylik
• O'sish va kamayish, ekstremumlar
• Asosiy elementar funksiyalar grafiklari (chiziqli, kvadratik, kasr, ildiz)
• Grafik almashtirishlari (siljitish, cho'zish)</t>
        </is>
      </c>
      <c r="H16" s="97" t="inlineStr">
        <is>
          <t>• Chiziqli funksiya:  y = kx + b
• Kvadratik funksiya:  y = ax² + bx + c,   uchi  x = −b/(2a)
• Juft:  f(−x) = f(x);   toq:  f(−x) = −f(x)</t>
        </is>
      </c>
      <c r="I16" s="97" t="inlineStr">
        <is>
          <t>• Ta'rif sohasini topish
• Funksiyaning juft/toqligini aniqlash
• Grafiklarni o'qish, chizish va almashtirishlarni qo'llash</t>
        </is>
      </c>
      <c r="J16" s="97" t="inlineStr">
        <is>
          <t>y = √(x − 2) funksiyaning ta'rif sohasini toping.</t>
        </is>
      </c>
      <c r="K16" s="97" t="inlineStr">
        <is>
          <t>Ildiz ostidagi ifoda manfiy bo'lmasligi kerak: x − 2 ≥ 0 ⇒ x ≥ 2. Demak D = [2; +∞).</t>
        </is>
      </c>
      <c r="L16" s="97" t="inlineStr">
        <is>
          <t>• Ta'rif sohasi, juft/toqlik va asosiy grafiklarni erkin aniqlash</t>
        </is>
      </c>
      <c r="M16" s="97" t="inlineStr">
        <is>
          <t>• Ta'rif sohasi shartlarini (ildiz ≥ 0, maxraj ≠ 0) unutish
• Juft/toqlikni noto'g'ri aniqlash</t>
        </is>
      </c>
      <c r="N16" s="97" t="inlineStr">
        <is>
          <t>Funksiya.pdf</t>
        </is>
      </c>
    </row>
    <row r="17" ht="108" customHeight="1" s="56">
      <c r="A17" s="95" t="n">
        <v>14</v>
      </c>
      <c r="B17" s="96" t="inlineStr">
        <is>
          <t>4-bosqich: Funksiya va matematik tahlil</t>
        </is>
      </c>
      <c r="C17" s="97" t="inlineStr">
        <is>
          <t>Trigonometrik funksiyalar (grafik va xossalari)</t>
        </is>
      </c>
      <c r="D17" s="98" t="inlineStr">
        <is>
          <t>1.5 hafta (~9 soat)</t>
        </is>
      </c>
      <c r="E17" s="97" t="inlineStr">
        <is>
          <t>Funksiya; Trigonometriya (algebra qismidan)</t>
        </is>
      </c>
      <c r="F17" s="97" t="inlineStr">
        <is>
          <t>y = sinx, cosx, tanx funksiyalarining grafiklari, davriyligi va xossalarini egallash.</t>
        </is>
      </c>
      <c r="G17" s="97" t="inlineStr">
        <is>
          <t>• y = sinx va y = cosx grafiklari (sinusoida)
• Davriylik, juft/toqlik, qiymatlar sohasi
• y = tanx va y = cotx grafiklari
• Amplituda va davr: y = A·sin(kx + b)
• Eng katta va eng kichik qiymatlar</t>
        </is>
      </c>
      <c r="H17" s="97" t="inlineStr">
        <is>
          <t>• sinx va cosx davri = 2π;   tanx davri = π
• −1 ≤ sinx ≤ 1,   −1 ≤ cosx ≤ 1
• y = A·sin(kx) uchun davr T = 2π/k, amplituda = |A|</t>
        </is>
      </c>
      <c r="I17" s="97" t="inlineStr">
        <is>
          <t>• Trigonometrik funksiyalar grafigini chizish va o'qish
• Davr va amplitudani aniqlash
• Funksiyaning eng katta/kichik qiymatini topish</t>
        </is>
      </c>
      <c r="J17" s="97" t="inlineStr">
        <is>
          <t>y = 3·sin(2x) funksiyaning davri va eng katta qiymatini toping.</t>
        </is>
      </c>
      <c r="K17" s="97" t="inlineStr">
        <is>
          <t>Davr T = 2π/2 = π.  Eng katta qiymat = amplituda = |3| = 3.</t>
        </is>
      </c>
      <c r="L17" s="97" t="inlineStr">
        <is>
          <t>• Davr, amplituda va qiymatlar sohasini erkin aniqlash</t>
        </is>
      </c>
      <c r="M17" s="97" t="inlineStr">
        <is>
          <t>• Davrni 2π/k o'rniga 2π·k deb hisoblash
• Amplitudani ishorasi bilan olish (|A| bo'lishi kerak)</t>
        </is>
      </c>
      <c r="N17" s="97" t="inlineStr">
        <is>
          <t>Trigonometrik funksiyalar.pdf</t>
        </is>
      </c>
    </row>
    <row r="18" ht="135" customHeight="1" s="56">
      <c r="A18" s="95" t="n">
        <v>15</v>
      </c>
      <c r="B18" s="96" t="inlineStr">
        <is>
          <t>4-bosqich: Funksiya va matematik tahlil</t>
        </is>
      </c>
      <c r="C18" s="97" t="inlineStr">
        <is>
          <t>Hosila (xosila)</t>
        </is>
      </c>
      <c r="D18" s="98" t="inlineStr">
        <is>
          <t>2.5 hafta (~15 soat)</t>
        </is>
      </c>
      <c r="E18" s="97" t="inlineStr">
        <is>
          <t>Funksiya</t>
        </is>
      </c>
      <c r="F18" s="97" t="inlineStr">
        <is>
          <t>Hosila ta'rifi, hisoblash qoidalari, geometrik ma'nosi va tatbiqlarini egallash — abituriyentning eng muhim mavzularidan biri.</t>
        </is>
      </c>
      <c r="G18" s="97" t="inlineStr">
        <is>
          <t>• Hosila ta'rifi va geometrik ma'nosi (urinma burchak koeffitsiyenti)
• Asosiy funksiyalar hosilalari
• Hosilalash qoidalari (yig'indi, ko'paytma, bo'linma, murakkab funksiya)
• Urinma tenglamasi
• Funksiyaning o'sishi/kamayishi va ekstremumlari
• Kesmada eng katta va eng kichik qiymat</t>
        </is>
      </c>
      <c r="H18" s="97" t="inlineStr">
        <is>
          <t>• (xⁿ)' = n·xⁿ⁻¹,   (C)' = 0,   (sinx)' = cosx,   (cosx)' = −sinx
• (eˣ)' = eˣ,   (ln x)' = 1/x
• (u·v)' = u'v + uv';   (u/v)' = (u'v − uv')/v²
• Urinma tenglamasi:  y = f(x₀) + f'(x₀)·(x − x₀)
• f'(x) &gt; 0 ⇒ o'sadi;  f'(x) &lt; 0 ⇒ kamayadi;  ekstremumda f'(x) = 0</t>
        </is>
      </c>
      <c r="I18" s="97" t="inlineStr">
        <is>
          <t>• Hosilalash qoidalarini erkin qo'llash
• Urinma tenglamasini tuzish
• O'sish/kamayish oraliqlari va ekstremumlarni topish
• Kesmada eng katta/kichik qiymatni topish</t>
        </is>
      </c>
      <c r="J18" s="97" t="inlineStr">
        <is>
          <t>f(x) = x³ − 3x funksiyaning ekstremum nuqtalarini toping.</t>
        </is>
      </c>
      <c r="K18" s="97" t="inlineStr">
        <is>
          <t>f'(x) = 3x² − 3 = 0 ⇒ x² = 1 ⇒ x = ±1. Ishora o'zgarishiga ko'ra x = −1 da maksimum, x = 1 da minimum.</t>
        </is>
      </c>
      <c r="L18" s="97" t="inlineStr">
        <is>
          <t>• Hosilani hisoblash, urinma va ekstremum masalalarini erkin yechish</t>
        </is>
      </c>
      <c r="M18" s="97" t="inlineStr">
        <is>
          <t>• Ko'paytma/bo'linma hosilasi qoidasini noto'g'ri qo'llash
• Ekstremumda f'(x) = 0 shartini tekshirmaslik</t>
        </is>
      </c>
      <c r="N18" s="97" t="inlineStr">
        <is>
          <t>Xosila.pdf</t>
        </is>
      </c>
    </row>
    <row r="19" ht="121.5" customHeight="1" s="56">
      <c r="A19" s="95" t="n">
        <v>16</v>
      </c>
      <c r="B19" s="96" t="inlineStr">
        <is>
          <t>4-bosqich: Funksiya va matematik tahlil</t>
        </is>
      </c>
      <c r="C19" s="97" t="inlineStr">
        <is>
          <t>Boshlang'ich funksiya va integral</t>
        </is>
      </c>
      <c r="D19" s="98" t="inlineStr">
        <is>
          <t>1.5 hafta (~9 soat)</t>
        </is>
      </c>
      <c r="E19" s="97" t="inlineStr">
        <is>
          <t>Hosila</t>
        </is>
      </c>
      <c r="F19" s="97" t="inlineStr">
        <is>
          <t>Boshlang'ich funksiya (antihosila), aniqmas va aniq integral hamda yuza hisoblashni egallash — matematik tahlilning yakuni.</t>
        </is>
      </c>
      <c r="G19" s="97" t="inlineStr">
        <is>
          <t>• Boshlang'ich funksiya ta'rifi (hosilaga teskari amal)
• Asosiy integrallar jadvali
• Aniq integral va Nyuton-Leybnits formulasi
• Egri chiziqli trapetsiya yuzasi</t>
        </is>
      </c>
      <c r="H19" s="97" t="inlineStr">
        <is>
          <t>• ∫ xⁿ dx = xⁿ⁺¹/(n + 1) + C   (n ≠ −1)
• ∫ sinx dx = −cosx + C;   ∫ cosx dx = sinx + C
• Nyuton-Leybnits:  ∫[a..b] f(x) dx = F(b) − F(a)
• Yuza:  S = ∫[a..b] f(x) dx   (f(x) ≥ 0 bo'lganda)</t>
        </is>
      </c>
      <c r="I19" s="97" t="inlineStr">
        <is>
          <t>• Boshlang'ich funksiyani topish
• Aniq integralni Nyuton-Leybnits formulasi bilan hisoblash
• Egri chiziqli trapetsiya yuzasini topish</t>
        </is>
      </c>
      <c r="J19" s="97" t="inlineStr">
        <is>
          <t>∫[0..2] x dx ni hisoblang.</t>
        </is>
      </c>
      <c r="K19" s="97" t="inlineStr">
        <is>
          <t>Boshlang'ich funksiya F(x) = x²/2. F(2) − F(0) = 4/2 − 0 = 2.</t>
        </is>
      </c>
      <c r="L19" s="97" t="inlineStr">
        <is>
          <t>• Boshlang'ich funksiya va aniq integralni erkin hisoblash; yuza masalasini yechish</t>
        </is>
      </c>
      <c r="M19" s="97" t="inlineStr">
        <is>
          <t>• Aniqmas integralda + C ni unutish
• Nyuton-Leybnitsda F(b) − F(a) tartibini chalkashtirish</t>
        </is>
      </c>
      <c r="N19" s="97" t="inlineStr">
        <is>
          <t>Boshlang'ich funksiya.pdf</t>
        </is>
      </c>
    </row>
  </sheetData>
  <autoFilter ref="A3:N19"/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55" min="1" max="1"/>
    <col width="62" customWidth="1" style="55" min="2" max="2"/>
    <col width="12" customWidth="1" style="55" min="3" max="5"/>
  </cols>
  <sheetData>
    <row r="1" ht="25.5" customHeight="1" s="56">
      <c r="A1" s="73" t="inlineStr">
        <is>
          <t>RASMIY O'QUV DASTURI — SOATLAR TAQSIMOTI</t>
        </is>
      </c>
    </row>
    <row r="2" ht="15" customHeight="1" s="56">
      <c r="A2" s="59" t="inlineStr">
        <is>
          <t>«Global Education in Karshi» NTM — «Matematika» o'quv reja va dasturi (Qarshi, 2022)</t>
        </is>
      </c>
    </row>
    <row r="3" ht="27.75" customHeight="1" s="56">
      <c r="A3" s="74" t="inlineStr">
        <is>
          <t>№</t>
        </is>
      </c>
      <c r="B3" s="74" t="inlineStr">
        <is>
          <t>Bo'lim / Mavzu</t>
        </is>
      </c>
      <c r="C3" s="74" t="inlineStr">
        <is>
          <t>Jami soat</t>
        </is>
      </c>
      <c r="D3" s="74" t="inlineStr">
        <is>
          <t>Nazariy</t>
        </is>
      </c>
      <c r="E3" s="74" t="inlineStr">
        <is>
          <t>Amaliy</t>
        </is>
      </c>
    </row>
    <row r="4" ht="21.75" customHeight="1" s="56">
      <c r="A4" s="103" t="inlineStr">
        <is>
          <t>MATEMATIKA bo'limi</t>
        </is>
      </c>
      <c r="B4" s="63" t="n"/>
      <c r="C4" s="63" t="n"/>
      <c r="D4" s="63" t="n"/>
      <c r="E4" s="64" t="n"/>
    </row>
    <row r="5" ht="15.75" customHeight="1" s="56">
      <c r="A5" s="104" t="n">
        <v>1</v>
      </c>
      <c r="B5" s="77" t="inlineStr">
        <is>
          <t>Natural sonlar va shkalalar</t>
        </is>
      </c>
      <c r="C5" s="104" t="n">
        <v>4</v>
      </c>
      <c r="D5" s="104" t="n">
        <v>2</v>
      </c>
      <c r="E5" s="104" t="n">
        <v>2</v>
      </c>
    </row>
    <row r="6" ht="15.75" customHeight="1" s="56">
      <c r="A6" s="104" t="n">
        <v>2</v>
      </c>
      <c r="B6" s="77" t="inlineStr">
        <is>
          <t>Natural sonlarni qo'shish, ayirish, ko'paytirish va bo'lish</t>
        </is>
      </c>
      <c r="C6" s="104" t="n">
        <v>4</v>
      </c>
      <c r="D6" s="104" t="n">
        <v>2</v>
      </c>
      <c r="E6" s="104" t="n">
        <v>2</v>
      </c>
    </row>
    <row r="7" ht="15.75" customHeight="1" s="56">
      <c r="A7" s="104" t="n">
        <v>3</v>
      </c>
      <c r="B7" s="77" t="inlineStr">
        <is>
          <t>Yuz va hajmlar</t>
        </is>
      </c>
      <c r="C7" s="104" t="n">
        <v>4</v>
      </c>
      <c r="D7" s="104" t="n">
        <v>2</v>
      </c>
      <c r="E7" s="104" t="n">
        <v>2</v>
      </c>
    </row>
    <row r="8" ht="15.75" customHeight="1" s="56">
      <c r="A8" s="104" t="n">
        <v>4</v>
      </c>
      <c r="B8" s="77" t="inlineStr">
        <is>
          <t>Oddiy kasrlar</t>
        </is>
      </c>
      <c r="C8" s="104" t="n">
        <v>6</v>
      </c>
      <c r="D8" s="104" t="n">
        <v>2</v>
      </c>
      <c r="E8" s="104" t="n">
        <v>4</v>
      </c>
    </row>
    <row r="9" ht="15.75" customHeight="1" s="56">
      <c r="A9" s="104" t="n">
        <v>5</v>
      </c>
      <c r="B9" s="77" t="inlineStr">
        <is>
          <t>O'nli kasrlar</t>
        </is>
      </c>
      <c r="C9" s="104" t="n">
        <v>6</v>
      </c>
      <c r="D9" s="104" t="n">
        <v>2</v>
      </c>
      <c r="E9" s="104" t="n">
        <v>4</v>
      </c>
    </row>
    <row r="10" ht="15.75" customHeight="1" s="56">
      <c r="A10" s="104" t="n">
        <v>6</v>
      </c>
      <c r="B10" s="77" t="inlineStr">
        <is>
          <t>Foizlar</t>
        </is>
      </c>
      <c r="C10" s="104" t="n">
        <v>4</v>
      </c>
      <c r="D10" s="104" t="n">
        <v>2</v>
      </c>
      <c r="E10" s="104" t="n">
        <v>2</v>
      </c>
    </row>
    <row r="11" ht="15.75" customHeight="1" s="56">
      <c r="A11" s="104" t="n">
        <v>7</v>
      </c>
      <c r="B11" s="77" t="inlineStr">
        <is>
          <t>Sonlarning bo'linish belgilari</t>
        </is>
      </c>
      <c r="C11" s="104" t="n">
        <v>4</v>
      </c>
      <c r="D11" s="104" t="n">
        <v>2</v>
      </c>
      <c r="E11" s="104" t="n">
        <v>2</v>
      </c>
    </row>
    <row r="12" ht="15.75" customHeight="1" s="56">
      <c r="A12" s="104" t="n">
        <v>8</v>
      </c>
      <c r="B12" s="77" t="inlineStr">
        <is>
          <t>Har xil maxrajli kasrlar ustida amallar</t>
        </is>
      </c>
      <c r="C12" s="104" t="n">
        <v>4</v>
      </c>
      <c r="D12" s="104" t="n">
        <v>2</v>
      </c>
      <c r="E12" s="104" t="n">
        <v>2</v>
      </c>
    </row>
    <row r="13" ht="15.75" customHeight="1" s="56">
      <c r="A13" s="104" t="n">
        <v>9</v>
      </c>
      <c r="B13" s="77" t="inlineStr">
        <is>
          <t>Nisbat va proporsiya</t>
        </is>
      </c>
      <c r="C13" s="104" t="n">
        <v>4</v>
      </c>
      <c r="D13" s="104" t="n">
        <v>2</v>
      </c>
      <c r="E13" s="104" t="n">
        <v>2</v>
      </c>
    </row>
    <row r="14" ht="15.75" customHeight="1" s="56">
      <c r="A14" s="104" t="n">
        <v>10</v>
      </c>
      <c r="B14" s="77" t="inlineStr">
        <is>
          <t>Musbat va manfiy sonlar. Butun sonlar ustida to'rt amal</t>
        </is>
      </c>
      <c r="C14" s="104" t="n">
        <v>4</v>
      </c>
      <c r="D14" s="104" t="n">
        <v>2</v>
      </c>
      <c r="E14" s="104" t="n">
        <v>2</v>
      </c>
    </row>
    <row r="15" ht="15.75" customHeight="1" s="56">
      <c r="A15" s="104" t="n">
        <v>11</v>
      </c>
      <c r="B15" s="77" t="inlineStr">
        <is>
          <t>Tenglamalarni yechish</t>
        </is>
      </c>
      <c r="C15" s="104" t="n">
        <v>6</v>
      </c>
      <c r="D15" s="104" t="n">
        <v>2</v>
      </c>
      <c r="E15" s="104" t="n">
        <v>4</v>
      </c>
    </row>
    <row r="16" ht="15.75" customHeight="1" s="56">
      <c r="A16" s="104" t="n">
        <v>12</v>
      </c>
      <c r="B16" s="77" t="inlineStr">
        <is>
          <t>Tekislikda koordinatalar</t>
        </is>
      </c>
      <c r="C16" s="104" t="n">
        <v>4</v>
      </c>
      <c r="D16" s="104" t="n">
        <v>2</v>
      </c>
      <c r="E16" s="104" t="n">
        <v>2</v>
      </c>
    </row>
    <row r="17" ht="19.5" customHeight="1" s="56">
      <c r="A17" s="105" t="n"/>
      <c r="B17" s="68" t="inlineStr">
        <is>
          <t>MATEMATIKA bo'limi — JAMI</t>
        </is>
      </c>
      <c r="C17" s="69">
        <f>SUM(C5:C16)</f>
        <v/>
      </c>
      <c r="D17" s="69">
        <f>SUM(D5:D16)</f>
        <v/>
      </c>
      <c r="E17" s="69">
        <f>SUM(E5:E16)</f>
        <v/>
      </c>
    </row>
    <row r="18" ht="21.75" customHeight="1" s="56">
      <c r="A18" s="106" t="inlineStr">
        <is>
          <t>ALGEBRA bo'limi</t>
        </is>
      </c>
      <c r="B18" s="63" t="n"/>
      <c r="C18" s="63" t="n"/>
      <c r="D18" s="63" t="n"/>
      <c r="E18" s="64" t="n"/>
    </row>
    <row r="19" ht="15.75" customHeight="1" s="56">
      <c r="A19" s="107" t="n">
        <v>1</v>
      </c>
      <c r="B19" s="81" t="inlineStr">
        <is>
          <t>Algebraik ifodalar</t>
        </is>
      </c>
      <c r="C19" s="107" t="n">
        <v>4</v>
      </c>
      <c r="D19" s="107" t="n">
        <v>2</v>
      </c>
      <c r="E19" s="107" t="n">
        <v>2</v>
      </c>
    </row>
    <row r="20" ht="15.75" customHeight="1" s="56">
      <c r="A20" s="107" t="n">
        <v>2</v>
      </c>
      <c r="B20" s="81" t="inlineStr">
        <is>
          <t>Birhadlar va ko'phadlar</t>
        </is>
      </c>
      <c r="C20" s="107" t="n">
        <v>4</v>
      </c>
      <c r="D20" s="107" t="n">
        <v>2</v>
      </c>
      <c r="E20" s="107" t="n">
        <v>2</v>
      </c>
    </row>
    <row r="21" ht="15.75" customHeight="1" s="56">
      <c r="A21" s="107" t="n">
        <v>3</v>
      </c>
      <c r="B21" s="81" t="inlineStr">
        <is>
          <t>Ko'phadni ko'paytuvchilarga ajratish</t>
        </is>
      </c>
      <c r="C21" s="107" t="n">
        <v>6</v>
      </c>
      <c r="D21" s="107" t="n">
        <v>2</v>
      </c>
      <c r="E21" s="107" t="n">
        <v>4</v>
      </c>
    </row>
    <row r="22" ht="15.75" customHeight="1" s="56">
      <c r="A22" s="107" t="n">
        <v>4</v>
      </c>
      <c r="B22" s="81" t="inlineStr">
        <is>
          <t>Algebraik kasrlar</t>
        </is>
      </c>
      <c r="C22" s="107" t="n">
        <v>4</v>
      </c>
      <c r="D22" s="107" t="n">
        <v>2</v>
      </c>
      <c r="E22" s="107" t="n">
        <v>2</v>
      </c>
    </row>
    <row r="23" ht="15.75" customHeight="1" s="56">
      <c r="A23" s="107" t="n">
        <v>5</v>
      </c>
      <c r="B23" s="81" t="inlineStr">
        <is>
          <t>Chiziqli funksiya va uning xossalari</t>
        </is>
      </c>
      <c r="C23" s="107" t="n">
        <v>4</v>
      </c>
      <c r="D23" s="107" t="n">
        <v>2</v>
      </c>
      <c r="E23" s="107" t="n">
        <v>2</v>
      </c>
    </row>
    <row r="24" ht="15.75" customHeight="1" s="56">
      <c r="A24" s="107" t="n">
        <v>6</v>
      </c>
      <c r="B24" s="81" t="inlineStr">
        <is>
          <t>Ikki noma'lumli ikkita chiziqli tenglamalar sistemasi</t>
        </is>
      </c>
      <c r="C24" s="107" t="n">
        <v>4</v>
      </c>
      <c r="D24" s="107" t="n">
        <v>2</v>
      </c>
      <c r="E24" s="107" t="n">
        <v>2</v>
      </c>
    </row>
    <row r="25" ht="15.75" customHeight="1" s="56">
      <c r="A25" s="107" t="n">
        <v>7</v>
      </c>
      <c r="B25" s="81" t="inlineStr">
        <is>
          <t>Tengsizliklar</t>
        </is>
      </c>
      <c r="C25" s="107" t="n">
        <v>4</v>
      </c>
      <c r="D25" s="107" t="n">
        <v>2</v>
      </c>
      <c r="E25" s="107" t="n">
        <v>2</v>
      </c>
    </row>
    <row r="26" ht="15.75" customHeight="1" s="56">
      <c r="A26" s="107" t="n">
        <v>8</v>
      </c>
      <c r="B26" s="81" t="inlineStr">
        <is>
          <t>Kvadrat ildizlar</t>
        </is>
      </c>
      <c r="C26" s="107" t="n">
        <v>4</v>
      </c>
      <c r="D26" s="107" t="n">
        <v>2</v>
      </c>
      <c r="E26" s="107" t="n">
        <v>2</v>
      </c>
    </row>
    <row r="27" ht="15.75" customHeight="1" s="56">
      <c r="A27" s="107" t="n">
        <v>9</v>
      </c>
      <c r="B27" s="81" t="inlineStr">
        <is>
          <t>Kvadrat tenglamalar</t>
        </is>
      </c>
      <c r="C27" s="107" t="n">
        <v>4</v>
      </c>
      <c r="D27" s="107" t="n">
        <v>2</v>
      </c>
      <c r="E27" s="107" t="n">
        <v>2</v>
      </c>
    </row>
    <row r="28" ht="15.75" customHeight="1" s="56">
      <c r="A28" s="107" t="n">
        <v>10</v>
      </c>
      <c r="B28" s="81" t="inlineStr">
        <is>
          <t>Taqribiy hisoblar</t>
        </is>
      </c>
      <c r="C28" s="107" t="n">
        <v>4</v>
      </c>
      <c r="D28" s="107" t="n">
        <v>2</v>
      </c>
      <c r="E28" s="107" t="n">
        <v>2</v>
      </c>
    </row>
    <row r="29" ht="15.75" customHeight="1" s="56">
      <c r="A29" s="107" t="n">
        <v>11</v>
      </c>
      <c r="B29" s="81" t="inlineStr">
        <is>
          <t>Kvadratik funksiya</t>
        </is>
      </c>
      <c r="C29" s="107" t="n">
        <v>4</v>
      </c>
      <c r="D29" s="107" t="n">
        <v>2</v>
      </c>
      <c r="E29" s="107" t="n">
        <v>2</v>
      </c>
    </row>
    <row r="30" ht="15.75" customHeight="1" s="56">
      <c r="A30" s="107" t="n">
        <v>12</v>
      </c>
      <c r="B30" s="81" t="inlineStr">
        <is>
          <t>Kvadrat tengsizliklar</t>
        </is>
      </c>
      <c r="C30" s="107" t="n">
        <v>4</v>
      </c>
      <c r="D30" s="107" t="n">
        <v>2</v>
      </c>
      <c r="E30" s="107" t="n">
        <v>2</v>
      </c>
    </row>
    <row r="31" ht="15.75" customHeight="1" s="56">
      <c r="A31" s="107" t="n">
        <v>13</v>
      </c>
      <c r="B31" s="81" t="inlineStr">
        <is>
          <t>Ratsional ko'rsatkichli daraja</t>
        </is>
      </c>
      <c r="C31" s="107" t="n">
        <v>4</v>
      </c>
      <c r="D31" s="107" t="n">
        <v>2</v>
      </c>
      <c r="E31" s="107" t="n">
        <v>2</v>
      </c>
    </row>
    <row r="32" ht="15.75" customHeight="1" s="56">
      <c r="A32" s="107" t="n">
        <v>14</v>
      </c>
      <c r="B32" s="81" t="inlineStr">
        <is>
          <t>Darajali funksiya</t>
        </is>
      </c>
      <c r="C32" s="107" t="n">
        <v>4</v>
      </c>
      <c r="D32" s="107" t="n">
        <v>2</v>
      </c>
      <c r="E32" s="107" t="n">
        <v>2</v>
      </c>
    </row>
    <row r="33" ht="15.75" customHeight="1" s="56">
      <c r="A33" s="107" t="n">
        <v>15</v>
      </c>
      <c r="B33" s="81" t="inlineStr">
        <is>
          <t>Trigonometriya elementlari</t>
        </is>
      </c>
      <c r="C33" s="107" t="n">
        <v>6</v>
      </c>
      <c r="D33" s="107" t="n">
        <v>2</v>
      </c>
      <c r="E33" s="107" t="n">
        <v>4</v>
      </c>
    </row>
    <row r="34" ht="15.75" customHeight="1" s="56">
      <c r="A34" s="107" t="n">
        <v>16</v>
      </c>
      <c r="B34" s="81" t="inlineStr">
        <is>
          <t>Progressiyalar</t>
        </is>
      </c>
      <c r="C34" s="107" t="n">
        <v>6</v>
      </c>
      <c r="D34" s="107" t="n">
        <v>2</v>
      </c>
      <c r="E34" s="107" t="n">
        <v>4</v>
      </c>
    </row>
    <row r="35" ht="15.75" customHeight="1" s="56">
      <c r="A35" s="107" t="n">
        <v>17</v>
      </c>
      <c r="B35" s="81" t="inlineStr">
        <is>
          <t>Logarifmlar</t>
        </is>
      </c>
      <c r="C35" s="107" t="n">
        <v>6</v>
      </c>
      <c r="D35" s="107" t="n">
        <v>2</v>
      </c>
      <c r="E35" s="107" t="n">
        <v>4</v>
      </c>
    </row>
    <row r="36" ht="25.5" customHeight="1" s="56">
      <c r="A36" s="107" t="n">
        <v>18</v>
      </c>
      <c r="B36" s="81" t="inlineStr">
        <is>
          <t>Trigonometrik funksiyalar, trigonometrik tenglama va tengsizliklarni yechish</t>
        </is>
      </c>
      <c r="C36" s="107" t="n">
        <v>6</v>
      </c>
      <c r="D36" s="107" t="n">
        <v>2</v>
      </c>
      <c r="E36" s="107" t="n">
        <v>4</v>
      </c>
    </row>
    <row r="37" ht="15.75" customHeight="1" s="56">
      <c r="A37" s="107" t="n">
        <v>19</v>
      </c>
      <c r="B37" s="81" t="inlineStr">
        <is>
          <t>Hosila va uning tadbiqlari</t>
        </is>
      </c>
      <c r="C37" s="107" t="n">
        <v>6</v>
      </c>
      <c r="D37" s="107" t="n">
        <v>2</v>
      </c>
      <c r="E37" s="107" t="n">
        <v>4</v>
      </c>
    </row>
    <row r="38" ht="15.75" customHeight="1" s="56">
      <c r="A38" s="107" t="n">
        <v>20</v>
      </c>
      <c r="B38" s="81" t="inlineStr">
        <is>
          <t>Integral va uning xossalari</t>
        </is>
      </c>
      <c r="C38" s="107" t="n">
        <v>6</v>
      </c>
      <c r="D38" s="107" t="n">
        <v>2</v>
      </c>
      <c r="E38" s="107" t="n">
        <v>4</v>
      </c>
    </row>
    <row r="39" ht="15.75" customHeight="1" s="56">
      <c r="A39" s="107" t="n">
        <v>21</v>
      </c>
      <c r="B39" s="81" t="inlineStr">
        <is>
          <t>Ehtimollar nazariyasi va matematik statistika elementlari</t>
        </is>
      </c>
      <c r="C39" s="107" t="n">
        <v>4</v>
      </c>
      <c r="D39" s="107" t="n">
        <v>2</v>
      </c>
      <c r="E39" s="107" t="n">
        <v>2</v>
      </c>
    </row>
    <row r="40" ht="19.5" customHeight="1" s="56">
      <c r="A40" s="105" t="n"/>
      <c r="B40" s="68" t="inlineStr">
        <is>
          <t>ALGEBRA bo'limi — JAMI</t>
        </is>
      </c>
      <c r="C40" s="69">
        <f>SUM(C19:C39)</f>
        <v/>
      </c>
      <c r="D40" s="69">
        <f>SUM(D19:D39)</f>
        <v/>
      </c>
      <c r="E40" s="69">
        <f>SUM(E19:E39)</f>
        <v/>
      </c>
    </row>
    <row r="41" ht="21.75" customHeight="1" s="56">
      <c r="A41" s="108" t="inlineStr">
        <is>
          <t>GEOMETRIYA bo'limi</t>
        </is>
      </c>
      <c r="B41" s="63" t="n"/>
      <c r="C41" s="63" t="n"/>
      <c r="D41" s="63" t="n"/>
      <c r="E41" s="64" t="n"/>
    </row>
    <row r="42" ht="15.75" customHeight="1" s="56">
      <c r="A42" s="109" t="n">
        <v>1</v>
      </c>
      <c r="B42" s="89" t="inlineStr">
        <is>
          <t>Dastlabki geometrik ma'lumotlar</t>
        </is>
      </c>
      <c r="C42" s="109" t="n">
        <v>8</v>
      </c>
      <c r="D42" s="109" t="n">
        <v>4</v>
      </c>
      <c r="E42" s="109" t="n">
        <v>4</v>
      </c>
    </row>
    <row r="43" ht="15.75" customHeight="1" s="56">
      <c r="A43" s="109" t="n">
        <v>2</v>
      </c>
      <c r="B43" s="89" t="inlineStr">
        <is>
          <t>Uchburchaklar</t>
        </is>
      </c>
      <c r="C43" s="109" t="n">
        <v>6</v>
      </c>
      <c r="D43" s="109" t="n">
        <v>2</v>
      </c>
      <c r="E43" s="109" t="n">
        <v>4</v>
      </c>
    </row>
    <row r="44" ht="15.75" customHeight="1" s="56">
      <c r="A44" s="109" t="n">
        <v>3</v>
      </c>
      <c r="B44" s="89" t="inlineStr">
        <is>
          <t>Parallel to'g'ri chiziqlar</t>
        </is>
      </c>
      <c r="C44" s="109" t="n">
        <v>4</v>
      </c>
      <c r="D44" s="109" t="n">
        <v>2</v>
      </c>
      <c r="E44" s="109" t="n">
        <v>2</v>
      </c>
    </row>
    <row r="45" ht="15.75" customHeight="1" s="56">
      <c r="A45" s="109" t="n">
        <v>4</v>
      </c>
      <c r="B45" s="89" t="inlineStr">
        <is>
          <t>Uchburchak tomonlari va burchaklari orasidagi munosabatlar</t>
        </is>
      </c>
      <c r="C45" s="109" t="n">
        <v>6</v>
      </c>
      <c r="D45" s="109" t="n">
        <v>2</v>
      </c>
      <c r="E45" s="109" t="n">
        <v>4</v>
      </c>
    </row>
    <row r="46" ht="15.75" customHeight="1" s="56">
      <c r="A46" s="109" t="n">
        <v>5</v>
      </c>
      <c r="B46" s="89" t="inlineStr">
        <is>
          <t>Geometrik yasashga doir masalalar</t>
        </is>
      </c>
      <c r="C46" s="109" t="n">
        <v>4</v>
      </c>
      <c r="D46" s="109" t="n">
        <v>2</v>
      </c>
      <c r="E46" s="109" t="n">
        <v>2</v>
      </c>
    </row>
    <row r="47" ht="15.75" customHeight="1" s="56">
      <c r="A47" s="109" t="n">
        <v>6</v>
      </c>
      <c r="B47" s="89" t="inlineStr">
        <is>
          <t>To'rtburchaklar</t>
        </is>
      </c>
      <c r="C47" s="109" t="n">
        <v>6</v>
      </c>
      <c r="D47" s="109" t="n">
        <v>2</v>
      </c>
      <c r="E47" s="109" t="n">
        <v>4</v>
      </c>
    </row>
    <row r="48" ht="15.75" customHeight="1" s="56">
      <c r="A48" s="109" t="n">
        <v>7</v>
      </c>
      <c r="B48" s="89" t="inlineStr">
        <is>
          <t>Yuz</t>
        </is>
      </c>
      <c r="C48" s="109" t="n">
        <v>6</v>
      </c>
      <c r="D48" s="109" t="n">
        <v>2</v>
      </c>
      <c r="E48" s="109" t="n">
        <v>4</v>
      </c>
    </row>
    <row r="49" ht="15.75" customHeight="1" s="56">
      <c r="A49" s="109" t="n">
        <v>8</v>
      </c>
      <c r="B49" s="89" t="inlineStr">
        <is>
          <t>Pifagor teoremasi</t>
        </is>
      </c>
      <c r="C49" s="109" t="n">
        <v>4</v>
      </c>
      <c r="D49" s="109" t="n">
        <v>2</v>
      </c>
      <c r="E49" s="109" t="n">
        <v>2</v>
      </c>
    </row>
    <row r="50" ht="15.75" customHeight="1" s="56">
      <c r="A50" s="109" t="n">
        <v>9</v>
      </c>
      <c r="B50" s="89" t="inlineStr">
        <is>
          <t>Aylana</t>
        </is>
      </c>
      <c r="C50" s="109" t="n">
        <v>6</v>
      </c>
      <c r="D50" s="109" t="n">
        <v>2</v>
      </c>
      <c r="E50" s="109" t="n">
        <v>4</v>
      </c>
    </row>
    <row r="51" ht="15.75" customHeight="1" s="56">
      <c r="A51" s="109" t="n">
        <v>10</v>
      </c>
      <c r="B51" s="89" t="inlineStr">
        <is>
          <t>Vektorlar</t>
        </is>
      </c>
      <c r="C51" s="109" t="n">
        <v>6</v>
      </c>
      <c r="D51" s="109" t="n">
        <v>2</v>
      </c>
      <c r="E51" s="109" t="n">
        <v>4</v>
      </c>
    </row>
    <row r="52" ht="15.75" customHeight="1" s="56">
      <c r="A52" s="109" t="n">
        <v>11</v>
      </c>
      <c r="B52" s="89" t="inlineStr">
        <is>
          <t>O'xshash geometrik shakllar</t>
        </is>
      </c>
      <c r="C52" s="109" t="n">
        <v>4</v>
      </c>
      <c r="D52" s="109" t="n">
        <v>2</v>
      </c>
      <c r="E52" s="109" t="n">
        <v>2</v>
      </c>
    </row>
    <row r="53" ht="25.5" customHeight="1" s="56">
      <c r="A53" s="109" t="n">
        <v>12</v>
      </c>
      <c r="B53" s="89" t="inlineStr">
        <is>
          <t>Uchburchak tomonlari va burchaklari orasidagi trigonometrik munosabatlar</t>
        </is>
      </c>
      <c r="C53" s="109" t="n">
        <v>6</v>
      </c>
      <c r="D53" s="109" t="n">
        <v>2</v>
      </c>
      <c r="E53" s="109" t="n">
        <v>4</v>
      </c>
    </row>
    <row r="54" ht="15.75" customHeight="1" s="56">
      <c r="A54" s="109" t="n">
        <v>13</v>
      </c>
      <c r="B54" s="89" t="inlineStr">
        <is>
          <t>Aylana uzunligi va doira yuzi</t>
        </is>
      </c>
      <c r="C54" s="109" t="n">
        <v>6</v>
      </c>
      <c r="D54" s="109" t="n">
        <v>2</v>
      </c>
      <c r="E54" s="109" t="n">
        <v>4</v>
      </c>
    </row>
    <row r="55" ht="15.75" customHeight="1" s="56">
      <c r="A55" s="109" t="n">
        <v>14</v>
      </c>
      <c r="B55" s="89" t="inlineStr">
        <is>
          <t>Uchburchak va aylanadagi metrik munosabatlar</t>
        </is>
      </c>
      <c r="C55" s="109" t="n">
        <v>6</v>
      </c>
      <c r="D55" s="109" t="n">
        <v>2</v>
      </c>
      <c r="E55" s="109" t="n">
        <v>4</v>
      </c>
    </row>
    <row r="56" ht="15.75" customHeight="1" s="56">
      <c r="A56" s="109" t="n">
        <v>15</v>
      </c>
      <c r="B56" s="89" t="inlineStr">
        <is>
          <t>To'g'ri chiziq va tekisliklarning o'zaro joylashishi</t>
        </is>
      </c>
      <c r="C56" s="109" t="n">
        <v>6</v>
      </c>
      <c r="D56" s="109" t="n">
        <v>2</v>
      </c>
      <c r="E56" s="109" t="n">
        <v>4</v>
      </c>
    </row>
    <row r="57" ht="15.75" customHeight="1" s="56">
      <c r="A57" s="109" t="n">
        <v>16</v>
      </c>
      <c r="B57" s="89" t="inlineStr">
        <is>
          <t>Fazoda vektorlar</t>
        </is>
      </c>
      <c r="C57" s="109" t="n">
        <v>6</v>
      </c>
      <c r="D57" s="109" t="n">
        <v>2</v>
      </c>
      <c r="E57" s="109" t="n">
        <v>4</v>
      </c>
    </row>
    <row r="58" ht="15.75" customHeight="1" s="56">
      <c r="A58" s="109" t="n">
        <v>17</v>
      </c>
      <c r="B58" s="89" t="inlineStr">
        <is>
          <t>Ko'pyoqliklar, ularning yon va to'la sirtlari</t>
        </is>
      </c>
      <c r="C58" s="109" t="n">
        <v>6</v>
      </c>
      <c r="D58" s="109" t="n">
        <v>2</v>
      </c>
      <c r="E58" s="109" t="n">
        <v>4</v>
      </c>
    </row>
    <row r="59" ht="15.75" customHeight="1" s="56">
      <c r="A59" s="109" t="n">
        <v>18</v>
      </c>
      <c r="B59" s="89" t="inlineStr">
        <is>
          <t>Aylanish jismlari</t>
        </is>
      </c>
      <c r="C59" s="109" t="n">
        <v>6</v>
      </c>
      <c r="D59" s="109" t="n">
        <v>2</v>
      </c>
      <c r="E59" s="109" t="n">
        <v>4</v>
      </c>
    </row>
    <row r="60" ht="15.75" customHeight="1" s="56">
      <c r="A60" s="109" t="n">
        <v>19</v>
      </c>
      <c r="B60" s="89" t="inlineStr">
        <is>
          <t>Fazoviy jismlarning hajmlari</t>
        </is>
      </c>
      <c r="C60" s="109" t="n">
        <v>6</v>
      </c>
      <c r="D60" s="109" t="n">
        <v>2</v>
      </c>
      <c r="E60" s="109" t="n">
        <v>4</v>
      </c>
    </row>
    <row r="61" ht="19.5" customHeight="1" s="56">
      <c r="A61" s="105" t="n"/>
      <c r="B61" s="68" t="inlineStr">
        <is>
          <t>GEOMETRIYA bo'limi — JAMI</t>
        </is>
      </c>
      <c r="C61" s="69">
        <f>SUM(C42:C60)</f>
        <v/>
      </c>
      <c r="D61" s="69">
        <f>SUM(D42:D60)</f>
        <v/>
      </c>
      <c r="E61" s="69">
        <f>SUM(E42:E60)</f>
        <v/>
      </c>
    </row>
    <row r="62" ht="24" customHeight="1" s="56">
      <c r="A62" s="110" t="n"/>
      <c r="B62" s="111" t="inlineStr">
        <is>
          <t>UMUMIY JAMI</t>
        </is>
      </c>
      <c r="C62" s="112">
        <f>C17+C40+C61</f>
        <v/>
      </c>
      <c r="D62" s="112">
        <f>D17+D40+D61</f>
        <v/>
      </c>
      <c r="E62" s="112">
        <f>E17+E40+E61</f>
        <v/>
      </c>
    </row>
    <row r="64" ht="15" customHeight="1" s="56">
      <c r="A64" s="59">
        <f>CONCATENATE("Amaliy mashg'ulot: ",E62," soat / ",C62," soat = ",ROUND(E62/C62*100,0),"%  (dastur talabi: kamida 60%)")</f>
        <v/>
      </c>
    </row>
  </sheetData>
  <mergeCells count="6">
    <mergeCell ref="A4:E4"/>
    <mergeCell ref="A2:E2"/>
    <mergeCell ref="A64:E64"/>
    <mergeCell ref="A41:E41"/>
    <mergeCell ref="A1:E1"/>
    <mergeCell ref="A18:E18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2026-06-11T13:19:56Z</dcterms:created>
  <dcterms:modified xmlns:dcterms="http://purl.org/dc/terms/" xmlns:xsi="http://www.w3.org/2001/XMLSchema-instance" xsi:type="dcterms:W3CDTF">2026-06-11T13:20:48Z</dcterms:modified>
  <cp:revision>0</cp:revision>
</cp:coreProperties>
</file>